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gdunn\Downloads\"/>
    </mc:Choice>
  </mc:AlternateContent>
  <xr:revisionPtr revIDLastSave="0" documentId="8_{D06CBEAD-943B-477B-8F60-FC03F738993B}" xr6:coauthVersionLast="47" xr6:coauthVersionMax="47" xr10:uidLastSave="{00000000-0000-0000-0000-000000000000}"/>
  <bookViews>
    <workbookView xWindow="-120" yWindow="-120" windowWidth="21060" windowHeight="12120" xr2:uid="{0AAABB6A-F877-4A2B-9E50-69D88CF66AC9}"/>
  </bookViews>
  <sheets>
    <sheet name="HTX Holiday Pop Up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L85" i="1"/>
  <c r="K85" i="1"/>
  <c r="J85" i="1"/>
  <c r="I85" i="1"/>
  <c r="F85" i="1"/>
  <c r="E85" i="1"/>
  <c r="D85" i="1"/>
  <c r="C85" i="1"/>
  <c r="J84" i="1"/>
  <c r="I84" i="1"/>
  <c r="D84" i="1"/>
  <c r="C84" i="1"/>
</calcChain>
</file>

<file path=xl/sharedStrings.xml><?xml version="1.0" encoding="utf-8"?>
<sst xmlns="http://schemas.openxmlformats.org/spreadsheetml/2006/main" count="534" uniqueCount="125">
  <si>
    <t>Club Number:</t>
  </si>
  <si>
    <t>Contract Name:</t>
  </si>
  <si>
    <t xml:space="preserve">HTX Holiday Pop Up </t>
  </si>
  <si>
    <t>Activation Date:</t>
  </si>
  <si>
    <t>Rebate Recipient:</t>
  </si>
  <si>
    <t>Rebate:</t>
  </si>
  <si>
    <t>Sunset Date:</t>
  </si>
  <si>
    <t>Product Detail</t>
  </si>
  <si>
    <t>Pricing Detail</t>
  </si>
  <si>
    <t>Customization</t>
  </si>
  <si>
    <t>Description</t>
  </si>
  <si>
    <t>Item #</t>
  </si>
  <si>
    <t>Color</t>
  </si>
  <si>
    <t>Sizing</t>
  </si>
  <si>
    <t>Status</t>
  </si>
  <si>
    <t>Product Validity</t>
  </si>
  <si>
    <t>Quantity</t>
  </si>
  <si>
    <t>Retail</t>
  </si>
  <si>
    <t>Discount</t>
  </si>
  <si>
    <t>Club Price</t>
  </si>
  <si>
    <t>Rebate</t>
  </si>
  <si>
    <t>Unit Price</t>
  </si>
  <si>
    <t>Total Price</t>
  </si>
  <si>
    <t>Logo 1</t>
  </si>
  <si>
    <t>Location</t>
  </si>
  <si>
    <t>Application</t>
  </si>
  <si>
    <t>Price</t>
  </si>
  <si>
    <t>adidas Copa Zone Cushion 5 OTC Socks</t>
  </si>
  <si>
    <t>A1092314</t>
  </si>
  <si>
    <t>LIGHT GREY</t>
  </si>
  <si>
    <t>XS-L</t>
  </si>
  <si>
    <t>Coach Recommended</t>
  </si>
  <si>
    <t>01/01/24 - 12/31/27</t>
  </si>
  <si>
    <t>Recommended</t>
  </si>
  <si>
    <t>GK Recommended</t>
  </si>
  <si>
    <t>adidas Fleece Crew</t>
  </si>
  <si>
    <t>A1120199</t>
  </si>
  <si>
    <t>BLACK</t>
  </si>
  <si>
    <t>S-3XL</t>
  </si>
  <si>
    <t>01/01/25 - 12/31/28</t>
  </si>
  <si>
    <t>L1383632</t>
  </si>
  <si>
    <t>UPPER CENTER FRONT</t>
  </si>
  <si>
    <t>HEAT PRESS</t>
  </si>
  <si>
    <t>YXS-YXL</t>
  </si>
  <si>
    <t>adidas Fleece Hoodie</t>
  </si>
  <si>
    <t>A1120251</t>
  </si>
  <si>
    <t>GREY</t>
  </si>
  <si>
    <t>YXS-YXL, XS-3XL</t>
  </si>
  <si>
    <t>L1383635</t>
  </si>
  <si>
    <t>adidas Women's Fleece Hoodie</t>
  </si>
  <si>
    <t>A1120267</t>
  </si>
  <si>
    <t>XS-2XL</t>
  </si>
  <si>
    <t>adidas Pregame T-Shirt</t>
  </si>
  <si>
    <t>A1120727</t>
  </si>
  <si>
    <t>WHITE</t>
  </si>
  <si>
    <t>YXS-YXL, XS-4XL</t>
  </si>
  <si>
    <t>06/01/25 - 12/31/30</t>
  </si>
  <si>
    <t>L1382921</t>
  </si>
  <si>
    <t>adidas Women's Pregame T-Shirt</t>
  </si>
  <si>
    <t>A1120731</t>
  </si>
  <si>
    <t>adidas Fleece Pant</t>
  </si>
  <si>
    <t>A1120265</t>
  </si>
  <si>
    <t>L1349508</t>
  </si>
  <si>
    <t>UPPER LEFT FRONT</t>
  </si>
  <si>
    <t>adidas Women's Fleece Pant</t>
  </si>
  <si>
    <t>A1120269</t>
  </si>
  <si>
    <t>adidas Squadra 25 Short</t>
  </si>
  <si>
    <t>A1109192</t>
  </si>
  <si>
    <t>BLACK/WHITE</t>
  </si>
  <si>
    <t>L1349509</t>
  </si>
  <si>
    <t>LOWER RIGHT FRONT</t>
  </si>
  <si>
    <t>Y2XS-YXL</t>
  </si>
  <si>
    <t>adidas Women's Squadra 25 Short</t>
  </si>
  <si>
    <t>A1109200</t>
  </si>
  <si>
    <t>adidas adiFlex Shin Guard</t>
  </si>
  <si>
    <t>A1134349</t>
  </si>
  <si>
    <t>06/01/26 - 12/31/28</t>
  </si>
  <si>
    <t>adidas FIFA World Cup 2026™ Trionda League Soccer Ball</t>
  </si>
  <si>
    <t>A1119147</t>
  </si>
  <si>
    <t>NO COLOR</t>
  </si>
  <si>
    <t>4, 5</t>
  </si>
  <si>
    <t>10/06/25 - 07/30/26</t>
  </si>
  <si>
    <t>Men's Replica adidas Argentina Home Jersey 2026</t>
  </si>
  <si>
    <t>A1126454</t>
  </si>
  <si>
    <t>XS-3XL</t>
  </si>
  <si>
    <t>10/25/25 - 07/17/27</t>
  </si>
  <si>
    <t>adidas F50 Hyperfast Pro FG Firm Ground Soccer Cleat</t>
  </si>
  <si>
    <t>A1133352</t>
  </si>
  <si>
    <t>09/22/26 - 02/01/27</t>
  </si>
  <si>
    <t>adidas Predator Pro FT FG Firm Ground Soccer Cleat</t>
  </si>
  <si>
    <t>A1133371</t>
  </si>
  <si>
    <t>adidas Predator League FT IN Indoor Soccer Shoe</t>
  </si>
  <si>
    <t>A1133375</t>
  </si>
  <si>
    <t>Team Counts</t>
  </si>
  <si>
    <t>Men</t>
  </si>
  <si>
    <t>Women</t>
  </si>
  <si>
    <t>Age Group</t>
  </si>
  <si>
    <t>New Teams</t>
  </si>
  <si>
    <t>Returning Teams</t>
  </si>
  <si>
    <t>New Players</t>
  </si>
  <si>
    <t>Returning Players</t>
  </si>
  <si>
    <t>Begin Ordering Month</t>
  </si>
  <si>
    <t>U5 / 2022</t>
  </si>
  <si>
    <t>U6 / 2021</t>
  </si>
  <si>
    <t>U7 / 2020</t>
  </si>
  <si>
    <t>U8 / 2019</t>
  </si>
  <si>
    <t>U9 / 2018</t>
  </si>
  <si>
    <t>U10 / 2017</t>
  </si>
  <si>
    <t>U11 / 2016</t>
  </si>
  <si>
    <t>U12 / 2015</t>
  </si>
  <si>
    <t>U13 / 2014</t>
  </si>
  <si>
    <t>U14 / 2013</t>
  </si>
  <si>
    <t>U15 / 2012</t>
  </si>
  <si>
    <t>U16 / 2011</t>
  </si>
  <si>
    <t>U17 / 2010</t>
  </si>
  <si>
    <t>U18 / 2009</t>
  </si>
  <si>
    <t>Adult Athletic</t>
  </si>
  <si>
    <t>Adult Generic</t>
  </si>
  <si>
    <t>Total Teams</t>
  </si>
  <si>
    <t>Total Players</t>
  </si>
  <si>
    <t>Name</t>
  </si>
  <si>
    <t>Date</t>
  </si>
  <si>
    <t>Product Forecast Signoff</t>
  </si>
  <si>
    <t>Customization Forecast Signoff</t>
  </si>
  <si>
    <t>Contract Creation Signoff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</si>
</sst>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305494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0549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FF66CC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3" fillId="2" borderId="9" xfId="0" applyFont="1" applyFill="1" applyBorder="1"/>
    <xf numFmtId="0" fontId="4" fillId="3" borderId="9" xfId="0" applyFont="1" applyFill="1" applyBorder="1"/>
    <xf numFmtId="14" fontId="4" fillId="3" borderId="9" xfId="0" applyNumberFormat="1" applyFont="1" applyFill="1" applyBorder="1"/>
    <xf numFmtId="0" fontId="3" fillId="2" borderId="6" xfId="0" applyFont="1" applyFill="1" applyBorder="1"/>
    <xf numFmtId="0" fontId="4" fillId="3" borderId="6" xfId="0" applyFont="1" applyFill="1" applyBorder="1"/>
    <xf numFmtId="14" fontId="4" fillId="3" borderId="6" xfId="0" applyNumberFormat="1" applyFont="1" applyFill="1" applyBorder="1"/>
    <xf numFmtId="0" fontId="0" fillId="0" borderId="0" xfId="0" applyAlignment="1">
      <alignment horizontal="center"/>
    </xf>
    <xf numFmtId="0" fontId="0" fillId="0" borderId="0" xfId="0" applyBorder="1"/>
    <xf numFmtId="0" fontId="0" fillId="0" borderId="1" xfId="0" applyBorder="1"/>
    <xf numFmtId="10" fontId="2" fillId="4" borderId="9" xfId="0" applyNumberFormat="1" applyFont="1" applyFill="1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2" fillId="5" borderId="9" xfId="0" applyFont="1" applyFill="1" applyBorder="1"/>
    <xf numFmtId="0" fontId="2" fillId="5" borderId="9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10" xfId="0" applyBorder="1"/>
    <xf numFmtId="0" fontId="0" fillId="0" borderId="8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44" fontId="0" fillId="0" borderId="0" xfId="1" applyFont="1" applyBorder="1" applyAlignment="1">
      <alignment horizontal="center"/>
    </xf>
    <xf numFmtId="44" fontId="0" fillId="0" borderId="5" xfId="1" applyFont="1" applyBorder="1" applyAlignment="1">
      <alignment horizontal="center"/>
    </xf>
    <xf numFmtId="9" fontId="0" fillId="0" borderId="0" xfId="2" applyFont="1" applyBorder="1" applyAlignment="1">
      <alignment horizontal="center"/>
    </xf>
    <xf numFmtId="9" fontId="0" fillId="0" borderId="5" xfId="2" applyFont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8" borderId="10" xfId="0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3C695-9A3A-448A-ACC0-43416E72EA8A}">
  <dimension ref="B1:X91"/>
  <sheetViews>
    <sheetView tabSelected="1" workbookViewId="0"/>
  </sheetViews>
  <sheetFormatPr defaultRowHeight="15" x14ac:dyDescent="0.25"/>
  <cols>
    <col min="1" max="1" width="1.7109375" customWidth="1"/>
    <col min="2" max="2" width="51.7109375" bestFit="1" customWidth="1"/>
    <col min="3" max="3" width="11.140625" bestFit="1" customWidth="1"/>
    <col min="4" max="4" width="15.85546875" bestFit="1" customWidth="1"/>
    <col min="5" max="5" width="19.28515625" bestFit="1" customWidth="1"/>
    <col min="6" max="6" width="20.42578125" bestFit="1" customWidth="1"/>
    <col min="7" max="7" width="20.28515625" bestFit="1" customWidth="1"/>
    <col min="8" max="8" width="12.7109375" bestFit="1" customWidth="1"/>
    <col min="9" max="9" width="11.140625" bestFit="1" customWidth="1"/>
    <col min="10" max="10" width="15.85546875" bestFit="1" customWidth="1"/>
    <col min="11" max="11" width="11.7109375" bestFit="1" customWidth="1"/>
    <col min="12" max="12" width="16.42578125" bestFit="1" customWidth="1"/>
    <col min="13" max="13" width="20.28515625" bestFit="1" customWidth="1"/>
    <col min="14" max="14" width="9.42578125" bestFit="1" customWidth="1"/>
    <col min="15" max="15" width="10.28515625" bestFit="1" customWidth="1"/>
    <col min="16" max="16" width="2.7109375" customWidth="1"/>
    <col min="17" max="17" width="8.85546875" bestFit="1" customWidth="1"/>
    <col min="18" max="18" width="20.5703125" bestFit="1" customWidth="1"/>
    <col min="19" max="19" width="12.5703125" bestFit="1" customWidth="1"/>
    <col min="20" max="20" width="7" bestFit="1" customWidth="1"/>
  </cols>
  <sheetData>
    <row r="1" spans="2:24" ht="15.75" thickBot="1" x14ac:dyDescent="0.3">
      <c r="B1" s="4" t="s">
        <v>0</v>
      </c>
      <c r="C1" s="5">
        <v>2004213190</v>
      </c>
      <c r="D1" s="4" t="s">
        <v>1</v>
      </c>
      <c r="E1" s="5" t="s">
        <v>2</v>
      </c>
      <c r="F1" s="4" t="s">
        <v>3</v>
      </c>
      <c r="G1" s="6">
        <v>46304</v>
      </c>
    </row>
    <row r="2" spans="2:24" ht="15.75" thickBot="1" x14ac:dyDescent="0.3">
      <c r="B2" s="1" t="s">
        <v>4</v>
      </c>
      <c r="C2" s="2"/>
      <c r="D2" s="1" t="s">
        <v>5</v>
      </c>
      <c r="E2" s="10">
        <v>0.2</v>
      </c>
      <c r="F2" s="1" t="s">
        <v>6</v>
      </c>
      <c r="G2" s="3">
        <v>46387</v>
      </c>
    </row>
    <row r="3" spans="2:24" ht="15.75" thickBot="1" x14ac:dyDescent="0.3">
      <c r="B3" s="14"/>
      <c r="C3" s="15" t="s">
        <v>7</v>
      </c>
      <c r="D3" s="15"/>
      <c r="E3" s="15"/>
      <c r="F3" s="15"/>
      <c r="G3" s="15"/>
      <c r="H3" s="15"/>
      <c r="I3" s="15" t="s">
        <v>8</v>
      </c>
      <c r="J3" s="15"/>
      <c r="K3" s="15"/>
      <c r="L3" s="15"/>
      <c r="M3" s="15"/>
      <c r="N3" s="15"/>
      <c r="O3" s="15"/>
      <c r="P3" s="15" t="s">
        <v>9</v>
      </c>
      <c r="Q3" s="15"/>
      <c r="R3" s="15"/>
      <c r="S3" s="15"/>
      <c r="T3" s="15"/>
      <c r="U3" s="15"/>
      <c r="V3" s="15"/>
      <c r="W3" s="15"/>
      <c r="X3" s="15"/>
    </row>
    <row r="4" spans="2:24" x14ac:dyDescent="0.25">
      <c r="B4" s="21" t="s">
        <v>10</v>
      </c>
      <c r="C4" s="22" t="s">
        <v>11</v>
      </c>
      <c r="D4" s="22" t="s">
        <v>12</v>
      </c>
      <c r="E4" s="22" t="s">
        <v>13</v>
      </c>
      <c r="F4" s="22" t="s">
        <v>14</v>
      </c>
      <c r="G4" s="22" t="s">
        <v>15</v>
      </c>
      <c r="H4" s="22" t="s">
        <v>16</v>
      </c>
      <c r="I4" s="22" t="s">
        <v>17</v>
      </c>
      <c r="J4" s="22" t="s">
        <v>18</v>
      </c>
      <c r="K4" s="22" t="s">
        <v>19</v>
      </c>
      <c r="L4" s="22" t="s">
        <v>20</v>
      </c>
      <c r="M4" s="22" t="s">
        <v>9</v>
      </c>
      <c r="N4" s="22" t="s">
        <v>21</v>
      </c>
      <c r="O4" s="22" t="s">
        <v>22</v>
      </c>
      <c r="P4" s="22"/>
      <c r="Q4" s="22" t="s">
        <v>23</v>
      </c>
      <c r="R4" s="22" t="s">
        <v>24</v>
      </c>
      <c r="S4" s="22" t="s">
        <v>25</v>
      </c>
      <c r="T4" s="22" t="s">
        <v>26</v>
      </c>
      <c r="U4" s="22"/>
      <c r="V4" s="22"/>
      <c r="W4" s="22"/>
      <c r="X4" s="23"/>
    </row>
    <row r="5" spans="2:24" x14ac:dyDescent="0.25">
      <c r="B5" s="24" t="s">
        <v>27</v>
      </c>
      <c r="C5" s="25" t="s">
        <v>28</v>
      </c>
      <c r="D5" s="25" t="s">
        <v>29</v>
      </c>
      <c r="E5" s="25" t="s">
        <v>30</v>
      </c>
      <c r="F5" s="25" t="s">
        <v>31</v>
      </c>
      <c r="G5" s="25" t="s">
        <v>32</v>
      </c>
      <c r="H5" s="25">
        <v>1</v>
      </c>
      <c r="I5" s="30">
        <v>15.99</v>
      </c>
      <c r="J5" s="32">
        <v>0.15</v>
      </c>
      <c r="K5" s="30">
        <v>13.59</v>
      </c>
      <c r="L5" s="30">
        <v>2.72</v>
      </c>
      <c r="M5" s="30">
        <v>0</v>
      </c>
      <c r="N5" s="30">
        <v>16.309999999999999</v>
      </c>
      <c r="O5" s="30">
        <v>16.309999999999999</v>
      </c>
      <c r="P5" s="34"/>
      <c r="Q5" s="25"/>
      <c r="R5" s="25"/>
      <c r="S5" s="30"/>
      <c r="T5" s="30"/>
      <c r="U5" s="25"/>
      <c r="V5" s="25"/>
      <c r="W5" s="25"/>
      <c r="X5" s="26"/>
    </row>
    <row r="6" spans="2:24" x14ac:dyDescent="0.25">
      <c r="B6" s="24" t="s">
        <v>27</v>
      </c>
      <c r="C6" s="25" t="s">
        <v>28</v>
      </c>
      <c r="D6" s="25" t="s">
        <v>29</v>
      </c>
      <c r="E6" s="25" t="s">
        <v>30</v>
      </c>
      <c r="F6" s="25" t="s">
        <v>33</v>
      </c>
      <c r="G6" s="25" t="s">
        <v>32</v>
      </c>
      <c r="H6" s="25">
        <v>1</v>
      </c>
      <c r="I6" s="30">
        <v>15.99</v>
      </c>
      <c r="J6" s="32">
        <v>0.15</v>
      </c>
      <c r="K6" s="30">
        <v>13.59</v>
      </c>
      <c r="L6" s="30">
        <v>2.72</v>
      </c>
      <c r="M6" s="30">
        <v>0</v>
      </c>
      <c r="N6" s="30">
        <v>16.309999999999999</v>
      </c>
      <c r="O6" s="30">
        <v>16.309999999999999</v>
      </c>
      <c r="P6" s="34"/>
      <c r="Q6" s="25"/>
      <c r="R6" s="25"/>
      <c r="S6" s="30"/>
      <c r="T6" s="30"/>
      <c r="U6" s="25"/>
      <c r="V6" s="25"/>
      <c r="W6" s="25"/>
      <c r="X6" s="26"/>
    </row>
    <row r="7" spans="2:24" x14ac:dyDescent="0.25">
      <c r="B7" s="24" t="s">
        <v>27</v>
      </c>
      <c r="C7" s="25" t="s">
        <v>28</v>
      </c>
      <c r="D7" s="25" t="s">
        <v>29</v>
      </c>
      <c r="E7" s="25" t="s">
        <v>30</v>
      </c>
      <c r="F7" s="25" t="s">
        <v>34</v>
      </c>
      <c r="G7" s="25" t="s">
        <v>32</v>
      </c>
      <c r="H7" s="25">
        <v>1</v>
      </c>
      <c r="I7" s="30">
        <v>15.99</v>
      </c>
      <c r="J7" s="32">
        <v>0.15</v>
      </c>
      <c r="K7" s="30">
        <v>13.59</v>
      </c>
      <c r="L7" s="30">
        <v>2.72</v>
      </c>
      <c r="M7" s="30">
        <v>0</v>
      </c>
      <c r="N7" s="30">
        <v>16.309999999999999</v>
      </c>
      <c r="O7" s="30">
        <v>16.309999999999999</v>
      </c>
      <c r="P7" s="34"/>
      <c r="Q7" s="25"/>
      <c r="R7" s="25"/>
      <c r="S7" s="30"/>
      <c r="T7" s="30"/>
      <c r="U7" s="25"/>
      <c r="V7" s="25"/>
      <c r="W7" s="25"/>
      <c r="X7" s="26"/>
    </row>
    <row r="8" spans="2:24" x14ac:dyDescent="0.25">
      <c r="B8" s="24" t="s">
        <v>35</v>
      </c>
      <c r="C8" s="25" t="s">
        <v>36</v>
      </c>
      <c r="D8" s="25" t="s">
        <v>37</v>
      </c>
      <c r="E8" s="25" t="s">
        <v>38</v>
      </c>
      <c r="F8" s="25" t="s">
        <v>31</v>
      </c>
      <c r="G8" s="25" t="s">
        <v>39</v>
      </c>
      <c r="H8" s="25">
        <v>1</v>
      </c>
      <c r="I8" s="30">
        <v>44.99</v>
      </c>
      <c r="J8" s="32">
        <v>0.15</v>
      </c>
      <c r="K8" s="30">
        <v>38.24</v>
      </c>
      <c r="L8" s="30">
        <v>7.65</v>
      </c>
      <c r="M8" s="30">
        <f>5.25</f>
        <v>5.25</v>
      </c>
      <c r="N8" s="30">
        <v>51.14</v>
      </c>
      <c r="O8" s="30">
        <v>51.14</v>
      </c>
      <c r="P8" s="34"/>
      <c r="Q8" s="25" t="s">
        <v>40</v>
      </c>
      <c r="R8" s="25" t="s">
        <v>41</v>
      </c>
      <c r="S8" s="30" t="s">
        <v>42</v>
      </c>
      <c r="T8" s="30">
        <v>5.25</v>
      </c>
      <c r="U8" s="25"/>
      <c r="V8" s="25"/>
      <c r="W8" s="25"/>
      <c r="X8" s="26"/>
    </row>
    <row r="9" spans="2:24" x14ac:dyDescent="0.25">
      <c r="B9" s="24" t="s">
        <v>35</v>
      </c>
      <c r="C9" s="25" t="s">
        <v>36</v>
      </c>
      <c r="D9" s="25" t="s">
        <v>37</v>
      </c>
      <c r="E9" s="25" t="s">
        <v>38</v>
      </c>
      <c r="F9" s="25" t="s">
        <v>33</v>
      </c>
      <c r="G9" s="25" t="s">
        <v>39</v>
      </c>
      <c r="H9" s="25">
        <v>1</v>
      </c>
      <c r="I9" s="30">
        <v>44.99</v>
      </c>
      <c r="J9" s="32">
        <v>0.15</v>
      </c>
      <c r="K9" s="30">
        <v>38.24</v>
      </c>
      <c r="L9" s="30">
        <v>7.65</v>
      </c>
      <c r="M9" s="30">
        <f>5.25</f>
        <v>5.25</v>
      </c>
      <c r="N9" s="30">
        <v>51.14</v>
      </c>
      <c r="O9" s="30">
        <v>51.14</v>
      </c>
      <c r="P9" s="34"/>
      <c r="Q9" s="25" t="s">
        <v>40</v>
      </c>
      <c r="R9" s="25" t="s">
        <v>41</v>
      </c>
      <c r="S9" s="30" t="s">
        <v>42</v>
      </c>
      <c r="T9" s="30">
        <v>5.25</v>
      </c>
      <c r="U9" s="25"/>
      <c r="V9" s="25"/>
      <c r="W9" s="25"/>
      <c r="X9" s="26"/>
    </row>
    <row r="10" spans="2:24" x14ac:dyDescent="0.25">
      <c r="B10" s="24" t="s">
        <v>35</v>
      </c>
      <c r="C10" s="25" t="s">
        <v>36</v>
      </c>
      <c r="D10" s="25" t="s">
        <v>37</v>
      </c>
      <c r="E10" s="25" t="s">
        <v>38</v>
      </c>
      <c r="F10" s="25" t="s">
        <v>34</v>
      </c>
      <c r="G10" s="25" t="s">
        <v>39</v>
      </c>
      <c r="H10" s="25">
        <v>1</v>
      </c>
      <c r="I10" s="30">
        <v>44.99</v>
      </c>
      <c r="J10" s="32">
        <v>0.15</v>
      </c>
      <c r="K10" s="30">
        <v>38.24</v>
      </c>
      <c r="L10" s="30">
        <v>7.65</v>
      </c>
      <c r="M10" s="30">
        <f>5.25</f>
        <v>5.25</v>
      </c>
      <c r="N10" s="30">
        <v>51.14</v>
      </c>
      <c r="O10" s="30">
        <v>51.14</v>
      </c>
      <c r="P10" s="34"/>
      <c r="Q10" s="25" t="s">
        <v>40</v>
      </c>
      <c r="R10" s="25" t="s">
        <v>41</v>
      </c>
      <c r="S10" s="30" t="s">
        <v>42</v>
      </c>
      <c r="T10" s="30">
        <v>5.25</v>
      </c>
      <c r="U10" s="25"/>
      <c r="V10" s="25"/>
      <c r="W10" s="25"/>
      <c r="X10" s="26"/>
    </row>
    <row r="11" spans="2:24" x14ac:dyDescent="0.25">
      <c r="B11" s="24" t="s">
        <v>35</v>
      </c>
      <c r="C11" s="25" t="s">
        <v>36</v>
      </c>
      <c r="D11" s="25" t="s">
        <v>37</v>
      </c>
      <c r="E11" s="25" t="s">
        <v>43</v>
      </c>
      <c r="F11" s="25" t="s">
        <v>31</v>
      </c>
      <c r="G11" s="25" t="s">
        <v>39</v>
      </c>
      <c r="H11" s="25">
        <v>1</v>
      </c>
      <c r="I11" s="30">
        <v>39.99</v>
      </c>
      <c r="J11" s="32">
        <v>0.15</v>
      </c>
      <c r="K11" s="30">
        <v>33.99</v>
      </c>
      <c r="L11" s="30">
        <v>6.8</v>
      </c>
      <c r="M11" s="30">
        <f>5.25</f>
        <v>5.25</v>
      </c>
      <c r="N11" s="30">
        <v>46.04</v>
      </c>
      <c r="O11" s="30">
        <v>46.04</v>
      </c>
      <c r="P11" s="34"/>
      <c r="Q11" s="25" t="s">
        <v>40</v>
      </c>
      <c r="R11" s="25" t="s">
        <v>41</v>
      </c>
      <c r="S11" s="30" t="s">
        <v>42</v>
      </c>
      <c r="T11" s="30">
        <v>5.25</v>
      </c>
      <c r="U11" s="25"/>
      <c r="V11" s="25"/>
      <c r="W11" s="25"/>
      <c r="X11" s="26"/>
    </row>
    <row r="12" spans="2:24" x14ac:dyDescent="0.25">
      <c r="B12" s="24" t="s">
        <v>35</v>
      </c>
      <c r="C12" s="25" t="s">
        <v>36</v>
      </c>
      <c r="D12" s="25" t="s">
        <v>37</v>
      </c>
      <c r="E12" s="25" t="s">
        <v>43</v>
      </c>
      <c r="F12" s="25" t="s">
        <v>33</v>
      </c>
      <c r="G12" s="25" t="s">
        <v>39</v>
      </c>
      <c r="H12" s="25">
        <v>1</v>
      </c>
      <c r="I12" s="30">
        <v>39.99</v>
      </c>
      <c r="J12" s="32">
        <v>0.15</v>
      </c>
      <c r="K12" s="30">
        <v>33.99</v>
      </c>
      <c r="L12" s="30">
        <v>6.8</v>
      </c>
      <c r="M12" s="30">
        <f>5.25</f>
        <v>5.25</v>
      </c>
      <c r="N12" s="30">
        <v>46.04</v>
      </c>
      <c r="O12" s="30">
        <v>46.04</v>
      </c>
      <c r="P12" s="34"/>
      <c r="Q12" s="25" t="s">
        <v>40</v>
      </c>
      <c r="R12" s="25" t="s">
        <v>41</v>
      </c>
      <c r="S12" s="30" t="s">
        <v>42</v>
      </c>
      <c r="T12" s="30">
        <v>5.25</v>
      </c>
      <c r="U12" s="25"/>
      <c r="V12" s="25"/>
      <c r="W12" s="25"/>
      <c r="X12" s="26"/>
    </row>
    <row r="13" spans="2:24" x14ac:dyDescent="0.25">
      <c r="B13" s="24" t="s">
        <v>35</v>
      </c>
      <c r="C13" s="25" t="s">
        <v>36</v>
      </c>
      <c r="D13" s="25" t="s">
        <v>37</v>
      </c>
      <c r="E13" s="25" t="s">
        <v>43</v>
      </c>
      <c r="F13" s="25" t="s">
        <v>34</v>
      </c>
      <c r="G13" s="25" t="s">
        <v>39</v>
      </c>
      <c r="H13" s="25">
        <v>1</v>
      </c>
      <c r="I13" s="30">
        <v>39.99</v>
      </c>
      <c r="J13" s="32">
        <v>0.15</v>
      </c>
      <c r="K13" s="30">
        <v>33.99</v>
      </c>
      <c r="L13" s="30">
        <v>6.8</v>
      </c>
      <c r="M13" s="30">
        <f>5.25</f>
        <v>5.25</v>
      </c>
      <c r="N13" s="30">
        <v>46.04</v>
      </c>
      <c r="O13" s="30">
        <v>46.04</v>
      </c>
      <c r="P13" s="34"/>
      <c r="Q13" s="25" t="s">
        <v>40</v>
      </c>
      <c r="R13" s="25" t="s">
        <v>41</v>
      </c>
      <c r="S13" s="30" t="s">
        <v>42</v>
      </c>
      <c r="T13" s="30">
        <v>5.25</v>
      </c>
      <c r="U13" s="25"/>
      <c r="V13" s="25"/>
      <c r="W13" s="25"/>
      <c r="X13" s="26"/>
    </row>
    <row r="14" spans="2:24" x14ac:dyDescent="0.25">
      <c r="B14" s="24" t="s">
        <v>44</v>
      </c>
      <c r="C14" s="25" t="s">
        <v>45</v>
      </c>
      <c r="D14" s="25" t="s">
        <v>46</v>
      </c>
      <c r="E14" s="25" t="s">
        <v>47</v>
      </c>
      <c r="F14" s="25" t="s">
        <v>31</v>
      </c>
      <c r="G14" s="25" t="s">
        <v>39</v>
      </c>
      <c r="H14" s="25">
        <v>1</v>
      </c>
      <c r="I14" s="30">
        <v>44.99</v>
      </c>
      <c r="J14" s="32">
        <v>0.15</v>
      </c>
      <c r="K14" s="30">
        <v>38.24</v>
      </c>
      <c r="L14" s="30">
        <v>7.65</v>
      </c>
      <c r="M14" s="30">
        <f>5.25</f>
        <v>5.25</v>
      </c>
      <c r="N14" s="30">
        <v>51.14</v>
      </c>
      <c r="O14" s="30">
        <v>51.14</v>
      </c>
      <c r="P14" s="34"/>
      <c r="Q14" s="25" t="s">
        <v>48</v>
      </c>
      <c r="R14" s="25" t="s">
        <v>41</v>
      </c>
      <c r="S14" s="30" t="s">
        <v>42</v>
      </c>
      <c r="T14" s="30">
        <v>5.25</v>
      </c>
      <c r="U14" s="25"/>
      <c r="V14" s="25"/>
      <c r="W14" s="25"/>
      <c r="X14" s="26"/>
    </row>
    <row r="15" spans="2:24" x14ac:dyDescent="0.25">
      <c r="B15" s="24" t="s">
        <v>44</v>
      </c>
      <c r="C15" s="25" t="s">
        <v>45</v>
      </c>
      <c r="D15" s="25" t="s">
        <v>46</v>
      </c>
      <c r="E15" s="25" t="s">
        <v>47</v>
      </c>
      <c r="F15" s="25" t="s">
        <v>33</v>
      </c>
      <c r="G15" s="25" t="s">
        <v>39</v>
      </c>
      <c r="H15" s="25">
        <v>1</v>
      </c>
      <c r="I15" s="30">
        <v>44.99</v>
      </c>
      <c r="J15" s="32">
        <v>0.15</v>
      </c>
      <c r="K15" s="30">
        <v>38.24</v>
      </c>
      <c r="L15" s="30">
        <v>7.65</v>
      </c>
      <c r="M15" s="30">
        <f>5.25</f>
        <v>5.25</v>
      </c>
      <c r="N15" s="30">
        <v>51.14</v>
      </c>
      <c r="O15" s="30">
        <v>51.14</v>
      </c>
      <c r="P15" s="34"/>
      <c r="Q15" s="25" t="s">
        <v>48</v>
      </c>
      <c r="R15" s="25" t="s">
        <v>41</v>
      </c>
      <c r="S15" s="30" t="s">
        <v>42</v>
      </c>
      <c r="T15" s="30">
        <v>5.25</v>
      </c>
      <c r="U15" s="25"/>
      <c r="V15" s="25"/>
      <c r="W15" s="25"/>
      <c r="X15" s="26"/>
    </row>
    <row r="16" spans="2:24" x14ac:dyDescent="0.25">
      <c r="B16" s="24" t="s">
        <v>44</v>
      </c>
      <c r="C16" s="25" t="s">
        <v>45</v>
      </c>
      <c r="D16" s="25" t="s">
        <v>46</v>
      </c>
      <c r="E16" s="25" t="s">
        <v>47</v>
      </c>
      <c r="F16" s="25" t="s">
        <v>34</v>
      </c>
      <c r="G16" s="25" t="s">
        <v>39</v>
      </c>
      <c r="H16" s="25">
        <v>1</v>
      </c>
      <c r="I16" s="30">
        <v>44.99</v>
      </c>
      <c r="J16" s="32">
        <v>0.15</v>
      </c>
      <c r="K16" s="30">
        <v>38.24</v>
      </c>
      <c r="L16" s="30">
        <v>7.65</v>
      </c>
      <c r="M16" s="30">
        <f>5.25</f>
        <v>5.25</v>
      </c>
      <c r="N16" s="30">
        <v>51.14</v>
      </c>
      <c r="O16" s="30">
        <v>51.14</v>
      </c>
      <c r="P16" s="34"/>
      <c r="Q16" s="25" t="s">
        <v>48</v>
      </c>
      <c r="R16" s="25" t="s">
        <v>41</v>
      </c>
      <c r="S16" s="30" t="s">
        <v>42</v>
      </c>
      <c r="T16" s="30">
        <v>5.25</v>
      </c>
      <c r="U16" s="25"/>
      <c r="V16" s="25"/>
      <c r="W16" s="25"/>
      <c r="X16" s="26"/>
    </row>
    <row r="17" spans="2:24" x14ac:dyDescent="0.25">
      <c r="B17" s="24" t="s">
        <v>49</v>
      </c>
      <c r="C17" s="25" t="s">
        <v>50</v>
      </c>
      <c r="D17" s="25" t="s">
        <v>46</v>
      </c>
      <c r="E17" s="25" t="s">
        <v>51</v>
      </c>
      <c r="F17" s="25" t="s">
        <v>31</v>
      </c>
      <c r="G17" s="25" t="s">
        <v>39</v>
      </c>
      <c r="H17" s="25">
        <v>1</v>
      </c>
      <c r="I17" s="30">
        <v>49.99</v>
      </c>
      <c r="J17" s="32">
        <v>0.15</v>
      </c>
      <c r="K17" s="30">
        <v>42.49</v>
      </c>
      <c r="L17" s="30">
        <v>8.5</v>
      </c>
      <c r="M17" s="30">
        <f>5.25</f>
        <v>5.25</v>
      </c>
      <c r="N17" s="30">
        <v>56.24</v>
      </c>
      <c r="O17" s="30">
        <v>56.24</v>
      </c>
      <c r="P17" s="34"/>
      <c r="Q17" s="25" t="s">
        <v>48</v>
      </c>
      <c r="R17" s="25" t="s">
        <v>41</v>
      </c>
      <c r="S17" s="30" t="s">
        <v>42</v>
      </c>
      <c r="T17" s="30">
        <v>5.25</v>
      </c>
      <c r="U17" s="25"/>
      <c r="V17" s="25"/>
      <c r="W17" s="25"/>
      <c r="X17" s="26"/>
    </row>
    <row r="18" spans="2:24" x14ac:dyDescent="0.25">
      <c r="B18" s="24" t="s">
        <v>49</v>
      </c>
      <c r="C18" s="25" t="s">
        <v>50</v>
      </c>
      <c r="D18" s="25" t="s">
        <v>46</v>
      </c>
      <c r="E18" s="25" t="s">
        <v>51</v>
      </c>
      <c r="F18" s="25" t="s">
        <v>33</v>
      </c>
      <c r="G18" s="25" t="s">
        <v>39</v>
      </c>
      <c r="H18" s="25">
        <v>1</v>
      </c>
      <c r="I18" s="30">
        <v>49.99</v>
      </c>
      <c r="J18" s="32">
        <v>0.15</v>
      </c>
      <c r="K18" s="30">
        <v>42.49</v>
      </c>
      <c r="L18" s="30">
        <v>8.5</v>
      </c>
      <c r="M18" s="30">
        <f>5.25</f>
        <v>5.25</v>
      </c>
      <c r="N18" s="30">
        <v>56.24</v>
      </c>
      <c r="O18" s="30">
        <v>56.24</v>
      </c>
      <c r="P18" s="34"/>
      <c r="Q18" s="25" t="s">
        <v>48</v>
      </c>
      <c r="R18" s="25" t="s">
        <v>41</v>
      </c>
      <c r="S18" s="30" t="s">
        <v>42</v>
      </c>
      <c r="T18" s="30">
        <v>5.25</v>
      </c>
      <c r="U18" s="25"/>
      <c r="V18" s="25"/>
      <c r="W18" s="25"/>
      <c r="X18" s="26"/>
    </row>
    <row r="19" spans="2:24" x14ac:dyDescent="0.25">
      <c r="B19" s="24" t="s">
        <v>49</v>
      </c>
      <c r="C19" s="25" t="s">
        <v>50</v>
      </c>
      <c r="D19" s="25" t="s">
        <v>46</v>
      </c>
      <c r="E19" s="25" t="s">
        <v>51</v>
      </c>
      <c r="F19" s="25" t="s">
        <v>34</v>
      </c>
      <c r="G19" s="25" t="s">
        <v>39</v>
      </c>
      <c r="H19" s="25">
        <v>1</v>
      </c>
      <c r="I19" s="30">
        <v>49.99</v>
      </c>
      <c r="J19" s="32">
        <v>0.15</v>
      </c>
      <c r="K19" s="30">
        <v>42.49</v>
      </c>
      <c r="L19" s="30">
        <v>8.5</v>
      </c>
      <c r="M19" s="30">
        <f>5.25</f>
        <v>5.25</v>
      </c>
      <c r="N19" s="30">
        <v>56.24</v>
      </c>
      <c r="O19" s="30">
        <v>56.24</v>
      </c>
      <c r="P19" s="34"/>
      <c r="Q19" s="25" t="s">
        <v>48</v>
      </c>
      <c r="R19" s="25" t="s">
        <v>41</v>
      </c>
      <c r="S19" s="30" t="s">
        <v>42</v>
      </c>
      <c r="T19" s="30">
        <v>5.25</v>
      </c>
      <c r="U19" s="25"/>
      <c r="V19" s="25"/>
      <c r="W19" s="25"/>
      <c r="X19" s="26"/>
    </row>
    <row r="20" spans="2:24" x14ac:dyDescent="0.25">
      <c r="B20" s="24" t="s">
        <v>52</v>
      </c>
      <c r="C20" s="25" t="s">
        <v>53</v>
      </c>
      <c r="D20" s="25" t="s">
        <v>54</v>
      </c>
      <c r="E20" s="25" t="s">
        <v>55</v>
      </c>
      <c r="F20" s="25" t="s">
        <v>31</v>
      </c>
      <c r="G20" s="25" t="s">
        <v>56</v>
      </c>
      <c r="H20" s="25">
        <v>1</v>
      </c>
      <c r="I20" s="30">
        <v>29.99</v>
      </c>
      <c r="J20" s="32">
        <v>0.15</v>
      </c>
      <c r="K20" s="30">
        <v>25.49</v>
      </c>
      <c r="L20" s="30">
        <v>5.0999999999999996</v>
      </c>
      <c r="M20" s="30">
        <f>5.25</f>
        <v>5.25</v>
      </c>
      <c r="N20" s="30">
        <v>35.840000000000003</v>
      </c>
      <c r="O20" s="30">
        <v>35.840000000000003</v>
      </c>
      <c r="P20" s="34"/>
      <c r="Q20" s="25" t="s">
        <v>57</v>
      </c>
      <c r="R20" s="25" t="s">
        <v>41</v>
      </c>
      <c r="S20" s="30" t="s">
        <v>42</v>
      </c>
      <c r="T20" s="30">
        <v>5.25</v>
      </c>
      <c r="U20" s="25"/>
      <c r="V20" s="25"/>
      <c r="W20" s="25"/>
      <c r="X20" s="26"/>
    </row>
    <row r="21" spans="2:24" x14ac:dyDescent="0.25">
      <c r="B21" s="24" t="s">
        <v>52</v>
      </c>
      <c r="C21" s="25" t="s">
        <v>53</v>
      </c>
      <c r="D21" s="25" t="s">
        <v>54</v>
      </c>
      <c r="E21" s="25" t="s">
        <v>55</v>
      </c>
      <c r="F21" s="25" t="s">
        <v>33</v>
      </c>
      <c r="G21" s="25" t="s">
        <v>56</v>
      </c>
      <c r="H21" s="25">
        <v>1</v>
      </c>
      <c r="I21" s="30">
        <v>29.99</v>
      </c>
      <c r="J21" s="32">
        <v>0.15</v>
      </c>
      <c r="K21" s="30">
        <v>25.49</v>
      </c>
      <c r="L21" s="30">
        <v>5.0999999999999996</v>
      </c>
      <c r="M21" s="30">
        <f>5.25</f>
        <v>5.25</v>
      </c>
      <c r="N21" s="30">
        <v>35.840000000000003</v>
      </c>
      <c r="O21" s="30">
        <v>35.840000000000003</v>
      </c>
      <c r="P21" s="34"/>
      <c r="Q21" s="25" t="s">
        <v>57</v>
      </c>
      <c r="R21" s="25" t="s">
        <v>41</v>
      </c>
      <c r="S21" s="30" t="s">
        <v>42</v>
      </c>
      <c r="T21" s="30">
        <v>5.25</v>
      </c>
      <c r="U21" s="25"/>
      <c r="V21" s="25"/>
      <c r="W21" s="25"/>
      <c r="X21" s="26"/>
    </row>
    <row r="22" spans="2:24" x14ac:dyDescent="0.25">
      <c r="B22" s="24" t="s">
        <v>52</v>
      </c>
      <c r="C22" s="25" t="s">
        <v>53</v>
      </c>
      <c r="D22" s="25" t="s">
        <v>54</v>
      </c>
      <c r="E22" s="25" t="s">
        <v>55</v>
      </c>
      <c r="F22" s="25" t="s">
        <v>34</v>
      </c>
      <c r="G22" s="25" t="s">
        <v>56</v>
      </c>
      <c r="H22" s="25">
        <v>1</v>
      </c>
      <c r="I22" s="30">
        <v>29.99</v>
      </c>
      <c r="J22" s="32">
        <v>0.15</v>
      </c>
      <c r="K22" s="30">
        <v>25.49</v>
      </c>
      <c r="L22" s="30">
        <v>5.0999999999999996</v>
      </c>
      <c r="M22" s="30">
        <f>5.25</f>
        <v>5.25</v>
      </c>
      <c r="N22" s="30">
        <v>35.840000000000003</v>
      </c>
      <c r="O22" s="30">
        <v>35.840000000000003</v>
      </c>
      <c r="P22" s="34"/>
      <c r="Q22" s="25" t="s">
        <v>57</v>
      </c>
      <c r="R22" s="25" t="s">
        <v>41</v>
      </c>
      <c r="S22" s="30" t="s">
        <v>42</v>
      </c>
      <c r="T22" s="30">
        <v>5.25</v>
      </c>
      <c r="U22" s="25"/>
      <c r="V22" s="25"/>
      <c r="W22" s="25"/>
      <c r="X22" s="26"/>
    </row>
    <row r="23" spans="2:24" x14ac:dyDescent="0.25">
      <c r="B23" s="24" t="s">
        <v>58</v>
      </c>
      <c r="C23" s="25" t="s">
        <v>59</v>
      </c>
      <c r="D23" s="25" t="s">
        <v>54</v>
      </c>
      <c r="E23" s="25" t="s">
        <v>51</v>
      </c>
      <c r="F23" s="25" t="s">
        <v>31</v>
      </c>
      <c r="G23" s="25" t="s">
        <v>56</v>
      </c>
      <c r="H23" s="25">
        <v>1</v>
      </c>
      <c r="I23" s="30">
        <v>29.99</v>
      </c>
      <c r="J23" s="32">
        <v>0.15</v>
      </c>
      <c r="K23" s="30">
        <v>25.49</v>
      </c>
      <c r="L23" s="30">
        <v>5.0999999999999996</v>
      </c>
      <c r="M23" s="30">
        <f>5.25</f>
        <v>5.25</v>
      </c>
      <c r="N23" s="30">
        <v>35.840000000000003</v>
      </c>
      <c r="O23" s="30">
        <v>35.840000000000003</v>
      </c>
      <c r="P23" s="34"/>
      <c r="Q23" s="25" t="s">
        <v>57</v>
      </c>
      <c r="R23" s="25" t="s">
        <v>41</v>
      </c>
      <c r="S23" s="30" t="s">
        <v>42</v>
      </c>
      <c r="T23" s="30">
        <v>5.25</v>
      </c>
      <c r="U23" s="25"/>
      <c r="V23" s="25"/>
      <c r="W23" s="25"/>
      <c r="X23" s="26"/>
    </row>
    <row r="24" spans="2:24" x14ac:dyDescent="0.25">
      <c r="B24" s="24" t="s">
        <v>58</v>
      </c>
      <c r="C24" s="25" t="s">
        <v>59</v>
      </c>
      <c r="D24" s="25" t="s">
        <v>54</v>
      </c>
      <c r="E24" s="25" t="s">
        <v>51</v>
      </c>
      <c r="F24" s="25" t="s">
        <v>33</v>
      </c>
      <c r="G24" s="25" t="s">
        <v>56</v>
      </c>
      <c r="H24" s="25">
        <v>1</v>
      </c>
      <c r="I24" s="30">
        <v>29.99</v>
      </c>
      <c r="J24" s="32">
        <v>0.15</v>
      </c>
      <c r="K24" s="30">
        <v>25.49</v>
      </c>
      <c r="L24" s="30">
        <v>5.0999999999999996</v>
      </c>
      <c r="M24" s="30">
        <f>5.25</f>
        <v>5.25</v>
      </c>
      <c r="N24" s="30">
        <v>35.840000000000003</v>
      </c>
      <c r="O24" s="30">
        <v>35.840000000000003</v>
      </c>
      <c r="P24" s="34"/>
      <c r="Q24" s="25" t="s">
        <v>57</v>
      </c>
      <c r="R24" s="25" t="s">
        <v>41</v>
      </c>
      <c r="S24" s="30" t="s">
        <v>42</v>
      </c>
      <c r="T24" s="30">
        <v>5.25</v>
      </c>
      <c r="U24" s="25"/>
      <c r="V24" s="25"/>
      <c r="W24" s="25"/>
      <c r="X24" s="26"/>
    </row>
    <row r="25" spans="2:24" x14ac:dyDescent="0.25">
      <c r="B25" s="24" t="s">
        <v>58</v>
      </c>
      <c r="C25" s="25" t="s">
        <v>59</v>
      </c>
      <c r="D25" s="25" t="s">
        <v>54</v>
      </c>
      <c r="E25" s="25" t="s">
        <v>51</v>
      </c>
      <c r="F25" s="25" t="s">
        <v>34</v>
      </c>
      <c r="G25" s="25" t="s">
        <v>56</v>
      </c>
      <c r="H25" s="25">
        <v>1</v>
      </c>
      <c r="I25" s="30">
        <v>29.99</v>
      </c>
      <c r="J25" s="32">
        <v>0.15</v>
      </c>
      <c r="K25" s="30">
        <v>25.49</v>
      </c>
      <c r="L25" s="30">
        <v>5.0999999999999996</v>
      </c>
      <c r="M25" s="30">
        <f>5.25</f>
        <v>5.25</v>
      </c>
      <c r="N25" s="30">
        <v>35.840000000000003</v>
      </c>
      <c r="O25" s="30">
        <v>35.840000000000003</v>
      </c>
      <c r="P25" s="34"/>
      <c r="Q25" s="25" t="s">
        <v>57</v>
      </c>
      <c r="R25" s="25" t="s">
        <v>41</v>
      </c>
      <c r="S25" s="30" t="s">
        <v>42</v>
      </c>
      <c r="T25" s="30">
        <v>5.25</v>
      </c>
      <c r="U25" s="25"/>
      <c r="V25" s="25"/>
      <c r="W25" s="25"/>
      <c r="X25" s="26"/>
    </row>
    <row r="26" spans="2:24" x14ac:dyDescent="0.25">
      <c r="B26" s="24" t="s">
        <v>60</v>
      </c>
      <c r="C26" s="25" t="s">
        <v>61</v>
      </c>
      <c r="D26" s="25" t="s">
        <v>46</v>
      </c>
      <c r="E26" s="25" t="s">
        <v>38</v>
      </c>
      <c r="F26" s="25" t="s">
        <v>31</v>
      </c>
      <c r="G26" s="25" t="s">
        <v>39</v>
      </c>
      <c r="H26" s="25">
        <v>1</v>
      </c>
      <c r="I26" s="30">
        <v>49.99</v>
      </c>
      <c r="J26" s="32">
        <v>0.15</v>
      </c>
      <c r="K26" s="30">
        <v>42.49</v>
      </c>
      <c r="L26" s="30">
        <v>8.5</v>
      </c>
      <c r="M26" s="30">
        <f>5.25</f>
        <v>5.25</v>
      </c>
      <c r="N26" s="30">
        <v>56.24</v>
      </c>
      <c r="O26" s="30">
        <v>56.24</v>
      </c>
      <c r="P26" s="34"/>
      <c r="Q26" s="25" t="s">
        <v>62</v>
      </c>
      <c r="R26" s="25" t="s">
        <v>63</v>
      </c>
      <c r="S26" s="30" t="s">
        <v>42</v>
      </c>
      <c r="T26" s="30">
        <v>5.25</v>
      </c>
      <c r="U26" s="25"/>
      <c r="V26" s="25"/>
      <c r="W26" s="25"/>
      <c r="X26" s="26"/>
    </row>
    <row r="27" spans="2:24" x14ac:dyDescent="0.25">
      <c r="B27" s="24" t="s">
        <v>60</v>
      </c>
      <c r="C27" s="25" t="s">
        <v>61</v>
      </c>
      <c r="D27" s="25" t="s">
        <v>46</v>
      </c>
      <c r="E27" s="25" t="s">
        <v>38</v>
      </c>
      <c r="F27" s="25" t="s">
        <v>33</v>
      </c>
      <c r="G27" s="25" t="s">
        <v>39</v>
      </c>
      <c r="H27" s="25">
        <v>1</v>
      </c>
      <c r="I27" s="30">
        <v>49.99</v>
      </c>
      <c r="J27" s="32">
        <v>0.15</v>
      </c>
      <c r="K27" s="30">
        <v>42.49</v>
      </c>
      <c r="L27" s="30">
        <v>8.5</v>
      </c>
      <c r="M27" s="30">
        <f>5.25</f>
        <v>5.25</v>
      </c>
      <c r="N27" s="30">
        <v>56.24</v>
      </c>
      <c r="O27" s="30">
        <v>56.24</v>
      </c>
      <c r="P27" s="34"/>
      <c r="Q27" s="25" t="s">
        <v>62</v>
      </c>
      <c r="R27" s="25" t="s">
        <v>63</v>
      </c>
      <c r="S27" s="30" t="s">
        <v>42</v>
      </c>
      <c r="T27" s="30">
        <v>5.25</v>
      </c>
      <c r="U27" s="25"/>
      <c r="V27" s="25"/>
      <c r="W27" s="25"/>
      <c r="X27" s="26"/>
    </row>
    <row r="28" spans="2:24" x14ac:dyDescent="0.25">
      <c r="B28" s="24" t="s">
        <v>60</v>
      </c>
      <c r="C28" s="25" t="s">
        <v>61</v>
      </c>
      <c r="D28" s="25" t="s">
        <v>46</v>
      </c>
      <c r="E28" s="25" t="s">
        <v>38</v>
      </c>
      <c r="F28" s="25" t="s">
        <v>34</v>
      </c>
      <c r="G28" s="25" t="s">
        <v>39</v>
      </c>
      <c r="H28" s="25">
        <v>1</v>
      </c>
      <c r="I28" s="30">
        <v>49.99</v>
      </c>
      <c r="J28" s="32">
        <v>0.15</v>
      </c>
      <c r="K28" s="30">
        <v>42.49</v>
      </c>
      <c r="L28" s="30">
        <v>8.5</v>
      </c>
      <c r="M28" s="30">
        <f>5.25</f>
        <v>5.25</v>
      </c>
      <c r="N28" s="30">
        <v>56.24</v>
      </c>
      <c r="O28" s="30">
        <v>56.24</v>
      </c>
      <c r="P28" s="34"/>
      <c r="Q28" s="25" t="s">
        <v>62</v>
      </c>
      <c r="R28" s="25" t="s">
        <v>63</v>
      </c>
      <c r="S28" s="30" t="s">
        <v>42</v>
      </c>
      <c r="T28" s="30">
        <v>5.25</v>
      </c>
      <c r="U28" s="25"/>
      <c r="V28" s="25"/>
      <c r="W28" s="25"/>
      <c r="X28" s="26"/>
    </row>
    <row r="29" spans="2:24" x14ac:dyDescent="0.25">
      <c r="B29" s="24" t="s">
        <v>60</v>
      </c>
      <c r="C29" s="25" t="s">
        <v>61</v>
      </c>
      <c r="D29" s="25" t="s">
        <v>46</v>
      </c>
      <c r="E29" s="25" t="s">
        <v>43</v>
      </c>
      <c r="F29" s="25" t="s">
        <v>31</v>
      </c>
      <c r="G29" s="25" t="s">
        <v>39</v>
      </c>
      <c r="H29" s="25">
        <v>1</v>
      </c>
      <c r="I29" s="30">
        <v>44.99</v>
      </c>
      <c r="J29" s="32">
        <v>0.15</v>
      </c>
      <c r="K29" s="30">
        <v>38.24</v>
      </c>
      <c r="L29" s="30">
        <v>7.65</v>
      </c>
      <c r="M29" s="30">
        <f>5.25</f>
        <v>5.25</v>
      </c>
      <c r="N29" s="30">
        <v>51.14</v>
      </c>
      <c r="O29" s="30">
        <v>51.14</v>
      </c>
      <c r="P29" s="34"/>
      <c r="Q29" s="25" t="s">
        <v>62</v>
      </c>
      <c r="R29" s="25" t="s">
        <v>63</v>
      </c>
      <c r="S29" s="30" t="s">
        <v>42</v>
      </c>
      <c r="T29" s="30">
        <v>5.25</v>
      </c>
      <c r="U29" s="25"/>
      <c r="V29" s="25"/>
      <c r="W29" s="25"/>
      <c r="X29" s="26"/>
    </row>
    <row r="30" spans="2:24" x14ac:dyDescent="0.25">
      <c r="B30" s="24" t="s">
        <v>60</v>
      </c>
      <c r="C30" s="25" t="s">
        <v>61</v>
      </c>
      <c r="D30" s="25" t="s">
        <v>46</v>
      </c>
      <c r="E30" s="25" t="s">
        <v>43</v>
      </c>
      <c r="F30" s="25" t="s">
        <v>33</v>
      </c>
      <c r="G30" s="25" t="s">
        <v>39</v>
      </c>
      <c r="H30" s="25">
        <v>1</v>
      </c>
      <c r="I30" s="30">
        <v>44.99</v>
      </c>
      <c r="J30" s="32">
        <v>0.15</v>
      </c>
      <c r="K30" s="30">
        <v>38.24</v>
      </c>
      <c r="L30" s="30">
        <v>7.65</v>
      </c>
      <c r="M30" s="30">
        <f>5.25</f>
        <v>5.25</v>
      </c>
      <c r="N30" s="30">
        <v>51.14</v>
      </c>
      <c r="O30" s="30">
        <v>51.14</v>
      </c>
      <c r="P30" s="34"/>
      <c r="Q30" s="25" t="s">
        <v>62</v>
      </c>
      <c r="R30" s="25" t="s">
        <v>63</v>
      </c>
      <c r="S30" s="30" t="s">
        <v>42</v>
      </c>
      <c r="T30" s="30">
        <v>5.25</v>
      </c>
      <c r="U30" s="25"/>
      <c r="V30" s="25"/>
      <c r="W30" s="25"/>
      <c r="X30" s="26"/>
    </row>
    <row r="31" spans="2:24" x14ac:dyDescent="0.25">
      <c r="B31" s="24" t="s">
        <v>60</v>
      </c>
      <c r="C31" s="25" t="s">
        <v>61</v>
      </c>
      <c r="D31" s="25" t="s">
        <v>46</v>
      </c>
      <c r="E31" s="25" t="s">
        <v>43</v>
      </c>
      <c r="F31" s="25" t="s">
        <v>34</v>
      </c>
      <c r="G31" s="25" t="s">
        <v>39</v>
      </c>
      <c r="H31" s="25">
        <v>1</v>
      </c>
      <c r="I31" s="30">
        <v>44.99</v>
      </c>
      <c r="J31" s="32">
        <v>0.15</v>
      </c>
      <c r="K31" s="30">
        <v>38.24</v>
      </c>
      <c r="L31" s="30">
        <v>7.65</v>
      </c>
      <c r="M31" s="30">
        <f>5.25</f>
        <v>5.25</v>
      </c>
      <c r="N31" s="30">
        <v>51.14</v>
      </c>
      <c r="O31" s="30">
        <v>51.14</v>
      </c>
      <c r="P31" s="34"/>
      <c r="Q31" s="25" t="s">
        <v>62</v>
      </c>
      <c r="R31" s="25" t="s">
        <v>63</v>
      </c>
      <c r="S31" s="30" t="s">
        <v>42</v>
      </c>
      <c r="T31" s="30">
        <v>5.25</v>
      </c>
      <c r="U31" s="25"/>
      <c r="V31" s="25"/>
      <c r="W31" s="25"/>
      <c r="X31" s="26"/>
    </row>
    <row r="32" spans="2:24" x14ac:dyDescent="0.25">
      <c r="B32" s="24" t="s">
        <v>64</v>
      </c>
      <c r="C32" s="25" t="s">
        <v>65</v>
      </c>
      <c r="D32" s="25" t="s">
        <v>46</v>
      </c>
      <c r="E32" s="25" t="s">
        <v>51</v>
      </c>
      <c r="F32" s="25" t="s">
        <v>31</v>
      </c>
      <c r="G32" s="25" t="s">
        <v>39</v>
      </c>
      <c r="H32" s="25">
        <v>1</v>
      </c>
      <c r="I32" s="30">
        <v>49.99</v>
      </c>
      <c r="J32" s="32">
        <v>0.15</v>
      </c>
      <c r="K32" s="30">
        <v>42.49</v>
      </c>
      <c r="L32" s="30">
        <v>8.5</v>
      </c>
      <c r="M32" s="30">
        <f>5.25</f>
        <v>5.25</v>
      </c>
      <c r="N32" s="30">
        <v>56.24</v>
      </c>
      <c r="O32" s="30">
        <v>56.24</v>
      </c>
      <c r="P32" s="34"/>
      <c r="Q32" s="25" t="s">
        <v>62</v>
      </c>
      <c r="R32" s="25" t="s">
        <v>63</v>
      </c>
      <c r="S32" s="30" t="s">
        <v>42</v>
      </c>
      <c r="T32" s="30">
        <v>5.25</v>
      </c>
      <c r="U32" s="25"/>
      <c r="V32" s="25"/>
      <c r="W32" s="25"/>
      <c r="X32" s="26"/>
    </row>
    <row r="33" spans="2:24" x14ac:dyDescent="0.25">
      <c r="B33" s="24" t="s">
        <v>64</v>
      </c>
      <c r="C33" s="25" t="s">
        <v>65</v>
      </c>
      <c r="D33" s="25" t="s">
        <v>46</v>
      </c>
      <c r="E33" s="25" t="s">
        <v>51</v>
      </c>
      <c r="F33" s="25" t="s">
        <v>33</v>
      </c>
      <c r="G33" s="25" t="s">
        <v>39</v>
      </c>
      <c r="H33" s="25">
        <v>1</v>
      </c>
      <c r="I33" s="30">
        <v>49.99</v>
      </c>
      <c r="J33" s="32">
        <v>0.15</v>
      </c>
      <c r="K33" s="30">
        <v>42.49</v>
      </c>
      <c r="L33" s="30">
        <v>8.5</v>
      </c>
      <c r="M33" s="30">
        <f>5.25</f>
        <v>5.25</v>
      </c>
      <c r="N33" s="30">
        <v>56.24</v>
      </c>
      <c r="O33" s="30">
        <v>56.24</v>
      </c>
      <c r="P33" s="34"/>
      <c r="Q33" s="25" t="s">
        <v>62</v>
      </c>
      <c r="R33" s="25" t="s">
        <v>63</v>
      </c>
      <c r="S33" s="30" t="s">
        <v>42</v>
      </c>
      <c r="T33" s="30">
        <v>5.25</v>
      </c>
      <c r="U33" s="25"/>
      <c r="V33" s="25"/>
      <c r="W33" s="25"/>
      <c r="X33" s="26"/>
    </row>
    <row r="34" spans="2:24" x14ac:dyDescent="0.25">
      <c r="B34" s="24" t="s">
        <v>64</v>
      </c>
      <c r="C34" s="25" t="s">
        <v>65</v>
      </c>
      <c r="D34" s="25" t="s">
        <v>46</v>
      </c>
      <c r="E34" s="25" t="s">
        <v>51</v>
      </c>
      <c r="F34" s="25" t="s">
        <v>34</v>
      </c>
      <c r="G34" s="25" t="s">
        <v>39</v>
      </c>
      <c r="H34" s="25">
        <v>1</v>
      </c>
      <c r="I34" s="30">
        <v>49.99</v>
      </c>
      <c r="J34" s="32">
        <v>0.15</v>
      </c>
      <c r="K34" s="30">
        <v>42.49</v>
      </c>
      <c r="L34" s="30">
        <v>8.5</v>
      </c>
      <c r="M34" s="30">
        <f>5.25</f>
        <v>5.25</v>
      </c>
      <c r="N34" s="30">
        <v>56.24</v>
      </c>
      <c r="O34" s="30">
        <v>56.24</v>
      </c>
      <c r="P34" s="34"/>
      <c r="Q34" s="25" t="s">
        <v>62</v>
      </c>
      <c r="R34" s="25" t="s">
        <v>63</v>
      </c>
      <c r="S34" s="30" t="s">
        <v>42</v>
      </c>
      <c r="T34" s="30">
        <v>5.25</v>
      </c>
      <c r="U34" s="25"/>
      <c r="V34" s="25"/>
      <c r="W34" s="25"/>
      <c r="X34" s="26"/>
    </row>
    <row r="35" spans="2:24" x14ac:dyDescent="0.25">
      <c r="B35" s="24" t="s">
        <v>66</v>
      </c>
      <c r="C35" s="25" t="s">
        <v>67</v>
      </c>
      <c r="D35" s="25" t="s">
        <v>68</v>
      </c>
      <c r="E35" s="25" t="s">
        <v>38</v>
      </c>
      <c r="F35" s="25" t="s">
        <v>31</v>
      </c>
      <c r="G35" s="25" t="s">
        <v>39</v>
      </c>
      <c r="H35" s="25">
        <v>1</v>
      </c>
      <c r="I35" s="30">
        <v>24.99</v>
      </c>
      <c r="J35" s="32">
        <v>0.15</v>
      </c>
      <c r="K35" s="30">
        <v>21.24</v>
      </c>
      <c r="L35" s="30">
        <v>4.25</v>
      </c>
      <c r="M35" s="30">
        <f>5.25</f>
        <v>5.25</v>
      </c>
      <c r="N35" s="30">
        <v>30.74</v>
      </c>
      <c r="O35" s="30">
        <v>30.74</v>
      </c>
      <c r="P35" s="34"/>
      <c r="Q35" s="25" t="s">
        <v>69</v>
      </c>
      <c r="R35" s="25" t="s">
        <v>70</v>
      </c>
      <c r="S35" s="30" t="s">
        <v>42</v>
      </c>
      <c r="T35" s="30">
        <v>5.25</v>
      </c>
      <c r="U35" s="25"/>
      <c r="V35" s="25"/>
      <c r="W35" s="25"/>
      <c r="X35" s="26"/>
    </row>
    <row r="36" spans="2:24" x14ac:dyDescent="0.25">
      <c r="B36" s="24" t="s">
        <v>66</v>
      </c>
      <c r="C36" s="25" t="s">
        <v>67</v>
      </c>
      <c r="D36" s="25" t="s">
        <v>68</v>
      </c>
      <c r="E36" s="25" t="s">
        <v>38</v>
      </c>
      <c r="F36" s="25" t="s">
        <v>33</v>
      </c>
      <c r="G36" s="25" t="s">
        <v>39</v>
      </c>
      <c r="H36" s="25">
        <v>1</v>
      </c>
      <c r="I36" s="30">
        <v>24.99</v>
      </c>
      <c r="J36" s="32">
        <v>0.15</v>
      </c>
      <c r="K36" s="30">
        <v>21.24</v>
      </c>
      <c r="L36" s="30">
        <v>4.25</v>
      </c>
      <c r="M36" s="30">
        <f>5.25</f>
        <v>5.25</v>
      </c>
      <c r="N36" s="30">
        <v>30.74</v>
      </c>
      <c r="O36" s="30">
        <v>30.74</v>
      </c>
      <c r="P36" s="34"/>
      <c r="Q36" s="25" t="s">
        <v>69</v>
      </c>
      <c r="R36" s="25" t="s">
        <v>70</v>
      </c>
      <c r="S36" s="30" t="s">
        <v>42</v>
      </c>
      <c r="T36" s="30">
        <v>5.25</v>
      </c>
      <c r="U36" s="25"/>
      <c r="V36" s="25"/>
      <c r="W36" s="25"/>
      <c r="X36" s="26"/>
    </row>
    <row r="37" spans="2:24" x14ac:dyDescent="0.25">
      <c r="B37" s="24" t="s">
        <v>66</v>
      </c>
      <c r="C37" s="25" t="s">
        <v>67</v>
      </c>
      <c r="D37" s="25" t="s">
        <v>68</v>
      </c>
      <c r="E37" s="25" t="s">
        <v>38</v>
      </c>
      <c r="F37" s="25" t="s">
        <v>34</v>
      </c>
      <c r="G37" s="25" t="s">
        <v>39</v>
      </c>
      <c r="H37" s="25">
        <v>1</v>
      </c>
      <c r="I37" s="30">
        <v>24.99</v>
      </c>
      <c r="J37" s="32">
        <v>0.15</v>
      </c>
      <c r="K37" s="30">
        <v>21.24</v>
      </c>
      <c r="L37" s="30">
        <v>4.25</v>
      </c>
      <c r="M37" s="30">
        <f>5.25</f>
        <v>5.25</v>
      </c>
      <c r="N37" s="30">
        <v>30.74</v>
      </c>
      <c r="O37" s="30">
        <v>30.74</v>
      </c>
      <c r="P37" s="34"/>
      <c r="Q37" s="25" t="s">
        <v>69</v>
      </c>
      <c r="R37" s="25" t="s">
        <v>70</v>
      </c>
      <c r="S37" s="30" t="s">
        <v>42</v>
      </c>
      <c r="T37" s="30">
        <v>5.25</v>
      </c>
      <c r="U37" s="25"/>
      <c r="V37" s="25"/>
      <c r="W37" s="25"/>
      <c r="X37" s="26"/>
    </row>
    <row r="38" spans="2:24" x14ac:dyDescent="0.25">
      <c r="B38" s="24" t="s">
        <v>66</v>
      </c>
      <c r="C38" s="25" t="s">
        <v>67</v>
      </c>
      <c r="D38" s="25" t="s">
        <v>68</v>
      </c>
      <c r="E38" s="25" t="s">
        <v>71</v>
      </c>
      <c r="F38" s="25" t="s">
        <v>31</v>
      </c>
      <c r="G38" s="25" t="s">
        <v>39</v>
      </c>
      <c r="H38" s="25">
        <v>1</v>
      </c>
      <c r="I38" s="30">
        <v>19.989999999999998</v>
      </c>
      <c r="J38" s="32">
        <v>0.15</v>
      </c>
      <c r="K38" s="30">
        <v>16.989999999999998</v>
      </c>
      <c r="L38" s="30">
        <v>3.4</v>
      </c>
      <c r="M38" s="30">
        <f>5.25</f>
        <v>5.25</v>
      </c>
      <c r="N38" s="30">
        <v>25.64</v>
      </c>
      <c r="O38" s="30">
        <v>25.64</v>
      </c>
      <c r="P38" s="34"/>
      <c r="Q38" s="25" t="s">
        <v>69</v>
      </c>
      <c r="R38" s="25" t="s">
        <v>70</v>
      </c>
      <c r="S38" s="30" t="s">
        <v>42</v>
      </c>
      <c r="T38" s="30">
        <v>5.25</v>
      </c>
      <c r="U38" s="25"/>
      <c r="V38" s="25"/>
      <c r="W38" s="25"/>
      <c r="X38" s="26"/>
    </row>
    <row r="39" spans="2:24" x14ac:dyDescent="0.25">
      <c r="B39" s="24" t="s">
        <v>66</v>
      </c>
      <c r="C39" s="25" t="s">
        <v>67</v>
      </c>
      <c r="D39" s="25" t="s">
        <v>68</v>
      </c>
      <c r="E39" s="25" t="s">
        <v>71</v>
      </c>
      <c r="F39" s="25" t="s">
        <v>33</v>
      </c>
      <c r="G39" s="25" t="s">
        <v>39</v>
      </c>
      <c r="H39" s="25">
        <v>1</v>
      </c>
      <c r="I39" s="30">
        <v>19.989999999999998</v>
      </c>
      <c r="J39" s="32">
        <v>0.15</v>
      </c>
      <c r="K39" s="30">
        <v>16.989999999999998</v>
      </c>
      <c r="L39" s="30">
        <v>3.4</v>
      </c>
      <c r="M39" s="30">
        <f>5.25</f>
        <v>5.25</v>
      </c>
      <c r="N39" s="30">
        <v>25.64</v>
      </c>
      <c r="O39" s="30">
        <v>25.64</v>
      </c>
      <c r="P39" s="34"/>
      <c r="Q39" s="25" t="s">
        <v>69</v>
      </c>
      <c r="R39" s="25" t="s">
        <v>70</v>
      </c>
      <c r="S39" s="30" t="s">
        <v>42</v>
      </c>
      <c r="T39" s="30">
        <v>5.25</v>
      </c>
      <c r="U39" s="25"/>
      <c r="V39" s="25"/>
      <c r="W39" s="25"/>
      <c r="X39" s="26"/>
    </row>
    <row r="40" spans="2:24" x14ac:dyDescent="0.25">
      <c r="B40" s="24" t="s">
        <v>66</v>
      </c>
      <c r="C40" s="25" t="s">
        <v>67</v>
      </c>
      <c r="D40" s="25" t="s">
        <v>68</v>
      </c>
      <c r="E40" s="25" t="s">
        <v>71</v>
      </c>
      <c r="F40" s="25" t="s">
        <v>34</v>
      </c>
      <c r="G40" s="25" t="s">
        <v>39</v>
      </c>
      <c r="H40" s="25">
        <v>1</v>
      </c>
      <c r="I40" s="30">
        <v>19.989999999999998</v>
      </c>
      <c r="J40" s="32">
        <v>0.15</v>
      </c>
      <c r="K40" s="30">
        <v>16.989999999999998</v>
      </c>
      <c r="L40" s="30">
        <v>3.4</v>
      </c>
      <c r="M40" s="30">
        <f>5.25</f>
        <v>5.25</v>
      </c>
      <c r="N40" s="30">
        <v>25.64</v>
      </c>
      <c r="O40" s="30">
        <v>25.64</v>
      </c>
      <c r="P40" s="34"/>
      <c r="Q40" s="25" t="s">
        <v>69</v>
      </c>
      <c r="R40" s="25" t="s">
        <v>70</v>
      </c>
      <c r="S40" s="30" t="s">
        <v>42</v>
      </c>
      <c r="T40" s="30">
        <v>5.25</v>
      </c>
      <c r="U40" s="25"/>
      <c r="V40" s="25"/>
      <c r="W40" s="25"/>
      <c r="X40" s="26"/>
    </row>
    <row r="41" spans="2:24" x14ac:dyDescent="0.25">
      <c r="B41" s="24" t="s">
        <v>72</v>
      </c>
      <c r="C41" s="25" t="s">
        <v>73</v>
      </c>
      <c r="D41" s="25" t="s">
        <v>68</v>
      </c>
      <c r="E41" s="25" t="s">
        <v>51</v>
      </c>
      <c r="F41" s="25" t="s">
        <v>31</v>
      </c>
      <c r="G41" s="25" t="s">
        <v>39</v>
      </c>
      <c r="H41" s="25">
        <v>1</v>
      </c>
      <c r="I41" s="30">
        <v>24.99</v>
      </c>
      <c r="J41" s="32">
        <v>0.15</v>
      </c>
      <c r="K41" s="30">
        <v>21.24</v>
      </c>
      <c r="L41" s="30">
        <v>4.25</v>
      </c>
      <c r="M41" s="30">
        <f>5.25</f>
        <v>5.25</v>
      </c>
      <c r="N41" s="30">
        <v>30.74</v>
      </c>
      <c r="O41" s="30">
        <v>30.74</v>
      </c>
      <c r="P41" s="34"/>
      <c r="Q41" s="25" t="s">
        <v>69</v>
      </c>
      <c r="R41" s="25" t="s">
        <v>70</v>
      </c>
      <c r="S41" s="30" t="s">
        <v>42</v>
      </c>
      <c r="T41" s="30">
        <v>5.25</v>
      </c>
      <c r="U41" s="25"/>
      <c r="V41" s="25"/>
      <c r="W41" s="25"/>
      <c r="X41" s="26"/>
    </row>
    <row r="42" spans="2:24" x14ac:dyDescent="0.25">
      <c r="B42" s="24" t="s">
        <v>72</v>
      </c>
      <c r="C42" s="25" t="s">
        <v>73</v>
      </c>
      <c r="D42" s="25" t="s">
        <v>68</v>
      </c>
      <c r="E42" s="25" t="s">
        <v>51</v>
      </c>
      <c r="F42" s="25" t="s">
        <v>33</v>
      </c>
      <c r="G42" s="25" t="s">
        <v>39</v>
      </c>
      <c r="H42" s="25">
        <v>1</v>
      </c>
      <c r="I42" s="30">
        <v>24.99</v>
      </c>
      <c r="J42" s="32">
        <v>0.15</v>
      </c>
      <c r="K42" s="30">
        <v>21.24</v>
      </c>
      <c r="L42" s="30">
        <v>4.25</v>
      </c>
      <c r="M42" s="30">
        <f>5.25</f>
        <v>5.25</v>
      </c>
      <c r="N42" s="30">
        <v>30.74</v>
      </c>
      <c r="O42" s="30">
        <v>30.74</v>
      </c>
      <c r="P42" s="34"/>
      <c r="Q42" s="25" t="s">
        <v>69</v>
      </c>
      <c r="R42" s="25" t="s">
        <v>70</v>
      </c>
      <c r="S42" s="30" t="s">
        <v>42</v>
      </c>
      <c r="T42" s="30">
        <v>5.25</v>
      </c>
      <c r="U42" s="25"/>
      <c r="V42" s="25"/>
      <c r="W42" s="25"/>
      <c r="X42" s="26"/>
    </row>
    <row r="43" spans="2:24" x14ac:dyDescent="0.25">
      <c r="B43" s="24" t="s">
        <v>72</v>
      </c>
      <c r="C43" s="25" t="s">
        <v>73</v>
      </c>
      <c r="D43" s="25" t="s">
        <v>68</v>
      </c>
      <c r="E43" s="25" t="s">
        <v>51</v>
      </c>
      <c r="F43" s="25" t="s">
        <v>34</v>
      </c>
      <c r="G43" s="25" t="s">
        <v>39</v>
      </c>
      <c r="H43" s="25">
        <v>1</v>
      </c>
      <c r="I43" s="30">
        <v>24.99</v>
      </c>
      <c r="J43" s="32">
        <v>0.15</v>
      </c>
      <c r="K43" s="30">
        <v>21.24</v>
      </c>
      <c r="L43" s="30">
        <v>4.25</v>
      </c>
      <c r="M43" s="30">
        <f>5.25</f>
        <v>5.25</v>
      </c>
      <c r="N43" s="30">
        <v>30.74</v>
      </c>
      <c r="O43" s="30">
        <v>30.74</v>
      </c>
      <c r="P43" s="34"/>
      <c r="Q43" s="25" t="s">
        <v>69</v>
      </c>
      <c r="R43" s="25" t="s">
        <v>70</v>
      </c>
      <c r="S43" s="30" t="s">
        <v>42</v>
      </c>
      <c r="T43" s="30">
        <v>5.25</v>
      </c>
      <c r="U43" s="25"/>
      <c r="V43" s="25"/>
      <c r="W43" s="25"/>
      <c r="X43" s="26"/>
    </row>
    <row r="44" spans="2:24" x14ac:dyDescent="0.25">
      <c r="B44" s="24" t="s">
        <v>74</v>
      </c>
      <c r="C44" s="25" t="s">
        <v>75</v>
      </c>
      <c r="D44" s="25" t="s">
        <v>37</v>
      </c>
      <c r="E44" s="25" t="s">
        <v>30</v>
      </c>
      <c r="F44" s="25" t="s">
        <v>31</v>
      </c>
      <c r="G44" s="25" t="s">
        <v>76</v>
      </c>
      <c r="H44" s="25">
        <v>1</v>
      </c>
      <c r="I44" s="30">
        <v>11.99</v>
      </c>
      <c r="J44" s="32">
        <v>0.15</v>
      </c>
      <c r="K44" s="30">
        <v>10.19</v>
      </c>
      <c r="L44" s="30">
        <v>2.04</v>
      </c>
      <c r="M44" s="30">
        <v>0</v>
      </c>
      <c r="N44" s="30">
        <v>12.23</v>
      </c>
      <c r="O44" s="30">
        <v>12.23</v>
      </c>
      <c r="P44" s="34"/>
      <c r="Q44" s="25"/>
      <c r="R44" s="25"/>
      <c r="S44" s="30"/>
      <c r="T44" s="30"/>
      <c r="U44" s="25"/>
      <c r="V44" s="25"/>
      <c r="W44" s="25"/>
      <c r="X44" s="26"/>
    </row>
    <row r="45" spans="2:24" x14ac:dyDescent="0.25">
      <c r="B45" s="24" t="s">
        <v>74</v>
      </c>
      <c r="C45" s="25" t="s">
        <v>75</v>
      </c>
      <c r="D45" s="25" t="s">
        <v>37</v>
      </c>
      <c r="E45" s="25" t="s">
        <v>30</v>
      </c>
      <c r="F45" s="25" t="s">
        <v>33</v>
      </c>
      <c r="G45" s="25" t="s">
        <v>76</v>
      </c>
      <c r="H45" s="25">
        <v>1</v>
      </c>
      <c r="I45" s="30">
        <v>11.99</v>
      </c>
      <c r="J45" s="32">
        <v>0.15</v>
      </c>
      <c r="K45" s="30">
        <v>10.19</v>
      </c>
      <c r="L45" s="30">
        <v>2.04</v>
      </c>
      <c r="M45" s="30">
        <v>0</v>
      </c>
      <c r="N45" s="30">
        <v>12.23</v>
      </c>
      <c r="O45" s="30">
        <v>12.23</v>
      </c>
      <c r="P45" s="34"/>
      <c r="Q45" s="25"/>
      <c r="R45" s="25"/>
      <c r="S45" s="30"/>
      <c r="T45" s="30"/>
      <c r="U45" s="25"/>
      <c r="V45" s="25"/>
      <c r="W45" s="25"/>
      <c r="X45" s="26"/>
    </row>
    <row r="46" spans="2:24" x14ac:dyDescent="0.25">
      <c r="B46" s="24" t="s">
        <v>74</v>
      </c>
      <c r="C46" s="25" t="s">
        <v>75</v>
      </c>
      <c r="D46" s="25" t="s">
        <v>37</v>
      </c>
      <c r="E46" s="25" t="s">
        <v>30</v>
      </c>
      <c r="F46" s="25" t="s">
        <v>34</v>
      </c>
      <c r="G46" s="25" t="s">
        <v>76</v>
      </c>
      <c r="H46" s="25">
        <v>1</v>
      </c>
      <c r="I46" s="30">
        <v>11.99</v>
      </c>
      <c r="J46" s="32">
        <v>0.15</v>
      </c>
      <c r="K46" s="30">
        <v>10.19</v>
      </c>
      <c r="L46" s="30">
        <v>2.04</v>
      </c>
      <c r="M46" s="30">
        <v>0</v>
      </c>
      <c r="N46" s="30">
        <v>12.23</v>
      </c>
      <c r="O46" s="30">
        <v>12.23</v>
      </c>
      <c r="P46" s="34"/>
      <c r="Q46" s="25"/>
      <c r="R46" s="25"/>
      <c r="S46" s="30"/>
      <c r="T46" s="30"/>
      <c r="U46" s="25"/>
      <c r="V46" s="25"/>
      <c r="W46" s="25"/>
      <c r="X46" s="26"/>
    </row>
    <row r="47" spans="2:24" x14ac:dyDescent="0.25">
      <c r="B47" s="24" t="s">
        <v>77</v>
      </c>
      <c r="C47" s="25" t="s">
        <v>78</v>
      </c>
      <c r="D47" s="25" t="s">
        <v>79</v>
      </c>
      <c r="E47" s="25" t="s">
        <v>80</v>
      </c>
      <c r="F47" s="25" t="s">
        <v>31</v>
      </c>
      <c r="G47" s="25" t="s">
        <v>81</v>
      </c>
      <c r="H47" s="25">
        <v>1</v>
      </c>
      <c r="I47" s="30">
        <v>44.99</v>
      </c>
      <c r="J47" s="32">
        <v>0.15</v>
      </c>
      <c r="K47" s="30">
        <v>38.24</v>
      </c>
      <c r="L47" s="30">
        <v>7.65</v>
      </c>
      <c r="M47" s="30">
        <v>0</v>
      </c>
      <c r="N47" s="30">
        <v>45.89</v>
      </c>
      <c r="O47" s="30">
        <v>45.89</v>
      </c>
      <c r="P47" s="34"/>
      <c r="Q47" s="25"/>
      <c r="R47" s="25"/>
      <c r="S47" s="30"/>
      <c r="T47" s="30"/>
      <c r="U47" s="25"/>
      <c r="V47" s="25"/>
      <c r="W47" s="25"/>
      <c r="X47" s="26"/>
    </row>
    <row r="48" spans="2:24" x14ac:dyDescent="0.25">
      <c r="B48" s="24" t="s">
        <v>77</v>
      </c>
      <c r="C48" s="25" t="s">
        <v>78</v>
      </c>
      <c r="D48" s="25" t="s">
        <v>79</v>
      </c>
      <c r="E48" s="25" t="s">
        <v>80</v>
      </c>
      <c r="F48" s="25" t="s">
        <v>33</v>
      </c>
      <c r="G48" s="25" t="s">
        <v>81</v>
      </c>
      <c r="H48" s="25">
        <v>1</v>
      </c>
      <c r="I48" s="30">
        <v>44.99</v>
      </c>
      <c r="J48" s="32">
        <v>0.15</v>
      </c>
      <c r="K48" s="30">
        <v>38.24</v>
      </c>
      <c r="L48" s="30">
        <v>7.65</v>
      </c>
      <c r="M48" s="30">
        <v>0</v>
      </c>
      <c r="N48" s="30">
        <v>45.89</v>
      </c>
      <c r="O48" s="30">
        <v>45.89</v>
      </c>
      <c r="P48" s="34"/>
      <c r="Q48" s="25"/>
      <c r="R48" s="25"/>
      <c r="S48" s="30"/>
      <c r="T48" s="30"/>
      <c r="U48" s="25"/>
      <c r="V48" s="25"/>
      <c r="W48" s="25"/>
      <c r="X48" s="26"/>
    </row>
    <row r="49" spans="2:24" x14ac:dyDescent="0.25">
      <c r="B49" s="24" t="s">
        <v>77</v>
      </c>
      <c r="C49" s="25" t="s">
        <v>78</v>
      </c>
      <c r="D49" s="25" t="s">
        <v>79</v>
      </c>
      <c r="E49" s="25" t="s">
        <v>80</v>
      </c>
      <c r="F49" s="25" t="s">
        <v>34</v>
      </c>
      <c r="G49" s="25" t="s">
        <v>81</v>
      </c>
      <c r="H49" s="25">
        <v>1</v>
      </c>
      <c r="I49" s="30">
        <v>44.99</v>
      </c>
      <c r="J49" s="32">
        <v>0.15</v>
      </c>
      <c r="K49" s="30">
        <v>38.24</v>
      </c>
      <c r="L49" s="30">
        <v>7.65</v>
      </c>
      <c r="M49" s="30">
        <v>0</v>
      </c>
      <c r="N49" s="30">
        <v>45.89</v>
      </c>
      <c r="O49" s="30">
        <v>45.89</v>
      </c>
      <c r="P49" s="34"/>
      <c r="Q49" s="25"/>
      <c r="R49" s="25"/>
      <c r="S49" s="30"/>
      <c r="T49" s="30"/>
      <c r="U49" s="25"/>
      <c r="V49" s="25"/>
      <c r="W49" s="25"/>
      <c r="X49" s="26"/>
    </row>
    <row r="50" spans="2:24" x14ac:dyDescent="0.25">
      <c r="B50" s="24" t="s">
        <v>82</v>
      </c>
      <c r="C50" s="25" t="s">
        <v>83</v>
      </c>
      <c r="D50" s="25" t="s">
        <v>79</v>
      </c>
      <c r="E50" s="25" t="s">
        <v>84</v>
      </c>
      <c r="F50" s="25" t="s">
        <v>31</v>
      </c>
      <c r="G50" s="25" t="s">
        <v>85</v>
      </c>
      <c r="H50" s="25">
        <v>1</v>
      </c>
      <c r="I50" s="30">
        <v>99.99</v>
      </c>
      <c r="J50" s="32">
        <v>0.15</v>
      </c>
      <c r="K50" s="30">
        <v>84.99</v>
      </c>
      <c r="L50" s="30">
        <v>17</v>
      </c>
      <c r="M50" s="30">
        <v>0</v>
      </c>
      <c r="N50" s="30">
        <v>101.99</v>
      </c>
      <c r="O50" s="30">
        <v>101.99</v>
      </c>
      <c r="P50" s="34"/>
      <c r="Q50" s="25"/>
      <c r="R50" s="25"/>
      <c r="S50" s="30"/>
      <c r="T50" s="30"/>
      <c r="U50" s="25"/>
      <c r="V50" s="25"/>
      <c r="W50" s="25"/>
      <c r="X50" s="26"/>
    </row>
    <row r="51" spans="2:24" x14ac:dyDescent="0.25">
      <c r="B51" s="24" t="s">
        <v>82</v>
      </c>
      <c r="C51" s="25" t="s">
        <v>83</v>
      </c>
      <c r="D51" s="25" t="s">
        <v>79</v>
      </c>
      <c r="E51" s="25" t="s">
        <v>84</v>
      </c>
      <c r="F51" s="25" t="s">
        <v>33</v>
      </c>
      <c r="G51" s="25" t="s">
        <v>85</v>
      </c>
      <c r="H51" s="25">
        <v>1</v>
      </c>
      <c r="I51" s="30">
        <v>99.99</v>
      </c>
      <c r="J51" s="32">
        <v>0.15</v>
      </c>
      <c r="K51" s="30">
        <v>84.99</v>
      </c>
      <c r="L51" s="30">
        <v>17</v>
      </c>
      <c r="M51" s="30">
        <v>0</v>
      </c>
      <c r="N51" s="30">
        <v>101.99</v>
      </c>
      <c r="O51" s="30">
        <v>101.99</v>
      </c>
      <c r="P51" s="34"/>
      <c r="Q51" s="25"/>
      <c r="R51" s="25"/>
      <c r="S51" s="30"/>
      <c r="T51" s="30"/>
      <c r="U51" s="25"/>
      <c r="V51" s="25"/>
      <c r="W51" s="25"/>
      <c r="X51" s="26"/>
    </row>
    <row r="52" spans="2:24" x14ac:dyDescent="0.25">
      <c r="B52" s="24" t="s">
        <v>82</v>
      </c>
      <c r="C52" s="25" t="s">
        <v>83</v>
      </c>
      <c r="D52" s="25" t="s">
        <v>79</v>
      </c>
      <c r="E52" s="25" t="s">
        <v>84</v>
      </c>
      <c r="F52" s="25" t="s">
        <v>34</v>
      </c>
      <c r="G52" s="25" t="s">
        <v>85</v>
      </c>
      <c r="H52" s="25">
        <v>1</v>
      </c>
      <c r="I52" s="30">
        <v>99.99</v>
      </c>
      <c r="J52" s="32">
        <v>0.15</v>
      </c>
      <c r="K52" s="30">
        <v>84.99</v>
      </c>
      <c r="L52" s="30">
        <v>17</v>
      </c>
      <c r="M52" s="30">
        <v>0</v>
      </c>
      <c r="N52" s="30">
        <v>101.99</v>
      </c>
      <c r="O52" s="30">
        <v>101.99</v>
      </c>
      <c r="P52" s="34"/>
      <c r="Q52" s="25"/>
      <c r="R52" s="25"/>
      <c r="S52" s="30"/>
      <c r="T52" s="30"/>
      <c r="U52" s="25"/>
      <c r="V52" s="25"/>
      <c r="W52" s="25"/>
      <c r="X52" s="26"/>
    </row>
    <row r="53" spans="2:24" x14ac:dyDescent="0.25">
      <c r="B53" s="24" t="s">
        <v>86</v>
      </c>
      <c r="C53" s="25" t="s">
        <v>87</v>
      </c>
      <c r="D53" s="25" t="s">
        <v>79</v>
      </c>
      <c r="E53" s="25" t="s">
        <v>80</v>
      </c>
      <c r="F53" s="25" t="s">
        <v>31</v>
      </c>
      <c r="G53" s="25" t="s">
        <v>88</v>
      </c>
      <c r="H53" s="25">
        <v>1</v>
      </c>
      <c r="I53" s="30">
        <v>159.99</v>
      </c>
      <c r="J53" s="32">
        <v>0.15</v>
      </c>
      <c r="K53" s="30">
        <v>135.99</v>
      </c>
      <c r="L53" s="30">
        <v>27.19</v>
      </c>
      <c r="M53" s="30">
        <v>0</v>
      </c>
      <c r="N53" s="30">
        <v>163.18</v>
      </c>
      <c r="O53" s="30">
        <v>163.18</v>
      </c>
      <c r="P53" s="34"/>
      <c r="Q53" s="25"/>
      <c r="R53" s="25"/>
      <c r="S53" s="30"/>
      <c r="T53" s="30"/>
      <c r="U53" s="25"/>
      <c r="V53" s="25"/>
      <c r="W53" s="25"/>
      <c r="X53" s="26"/>
    </row>
    <row r="54" spans="2:24" x14ac:dyDescent="0.25">
      <c r="B54" s="24" t="s">
        <v>86</v>
      </c>
      <c r="C54" s="25" t="s">
        <v>87</v>
      </c>
      <c r="D54" s="25" t="s">
        <v>79</v>
      </c>
      <c r="E54" s="25" t="s">
        <v>80</v>
      </c>
      <c r="F54" s="25" t="s">
        <v>33</v>
      </c>
      <c r="G54" s="25" t="s">
        <v>88</v>
      </c>
      <c r="H54" s="25">
        <v>1</v>
      </c>
      <c r="I54" s="30">
        <v>159.99</v>
      </c>
      <c r="J54" s="32">
        <v>0.15</v>
      </c>
      <c r="K54" s="30">
        <v>135.99</v>
      </c>
      <c r="L54" s="30">
        <v>27.19</v>
      </c>
      <c r="M54" s="30">
        <v>0</v>
      </c>
      <c r="N54" s="30">
        <v>163.18</v>
      </c>
      <c r="O54" s="30">
        <v>163.18</v>
      </c>
      <c r="P54" s="34"/>
      <c r="Q54" s="25"/>
      <c r="R54" s="25"/>
      <c r="S54" s="30"/>
      <c r="T54" s="30"/>
      <c r="U54" s="25"/>
      <c r="V54" s="25"/>
      <c r="W54" s="25"/>
      <c r="X54" s="26"/>
    </row>
    <row r="55" spans="2:24" x14ac:dyDescent="0.25">
      <c r="B55" s="24" t="s">
        <v>86</v>
      </c>
      <c r="C55" s="25" t="s">
        <v>87</v>
      </c>
      <c r="D55" s="25" t="s">
        <v>79</v>
      </c>
      <c r="E55" s="25" t="s">
        <v>80</v>
      </c>
      <c r="F55" s="25" t="s">
        <v>34</v>
      </c>
      <c r="G55" s="25" t="s">
        <v>88</v>
      </c>
      <c r="H55" s="25">
        <v>1</v>
      </c>
      <c r="I55" s="30">
        <v>159.99</v>
      </c>
      <c r="J55" s="32">
        <v>0.15</v>
      </c>
      <c r="K55" s="30">
        <v>135.99</v>
      </c>
      <c r="L55" s="30">
        <v>27.19</v>
      </c>
      <c r="M55" s="30">
        <v>0</v>
      </c>
      <c r="N55" s="30">
        <v>163.18</v>
      </c>
      <c r="O55" s="30">
        <v>163.18</v>
      </c>
      <c r="P55" s="34"/>
      <c r="Q55" s="25"/>
      <c r="R55" s="25"/>
      <c r="S55" s="30"/>
      <c r="T55" s="30"/>
      <c r="U55" s="25"/>
      <c r="V55" s="25"/>
      <c r="W55" s="25"/>
      <c r="X55" s="26"/>
    </row>
    <row r="56" spans="2:24" x14ac:dyDescent="0.25">
      <c r="B56" s="24" t="s">
        <v>89</v>
      </c>
      <c r="C56" s="25" t="s">
        <v>90</v>
      </c>
      <c r="D56" s="25" t="s">
        <v>79</v>
      </c>
      <c r="E56" s="25" t="s">
        <v>80</v>
      </c>
      <c r="F56" s="25" t="s">
        <v>31</v>
      </c>
      <c r="G56" s="25" t="s">
        <v>88</v>
      </c>
      <c r="H56" s="25">
        <v>1</v>
      </c>
      <c r="I56" s="30">
        <v>169.99</v>
      </c>
      <c r="J56" s="32">
        <v>0.15</v>
      </c>
      <c r="K56" s="30">
        <v>144.49</v>
      </c>
      <c r="L56" s="30">
        <v>28.89</v>
      </c>
      <c r="M56" s="30">
        <v>0</v>
      </c>
      <c r="N56" s="30">
        <v>173.38</v>
      </c>
      <c r="O56" s="30">
        <v>173.38</v>
      </c>
      <c r="P56" s="34"/>
      <c r="Q56" s="25"/>
      <c r="R56" s="25"/>
      <c r="S56" s="30"/>
      <c r="T56" s="30"/>
      <c r="U56" s="25"/>
      <c r="V56" s="25"/>
      <c r="W56" s="25"/>
      <c r="X56" s="26"/>
    </row>
    <row r="57" spans="2:24" x14ac:dyDescent="0.25">
      <c r="B57" s="24" t="s">
        <v>89</v>
      </c>
      <c r="C57" s="25" t="s">
        <v>90</v>
      </c>
      <c r="D57" s="25" t="s">
        <v>79</v>
      </c>
      <c r="E57" s="25" t="s">
        <v>80</v>
      </c>
      <c r="F57" s="25" t="s">
        <v>33</v>
      </c>
      <c r="G57" s="25" t="s">
        <v>88</v>
      </c>
      <c r="H57" s="25">
        <v>1</v>
      </c>
      <c r="I57" s="30">
        <v>169.99</v>
      </c>
      <c r="J57" s="32">
        <v>0.15</v>
      </c>
      <c r="K57" s="30">
        <v>144.49</v>
      </c>
      <c r="L57" s="30">
        <v>28.89</v>
      </c>
      <c r="M57" s="30">
        <v>0</v>
      </c>
      <c r="N57" s="30">
        <v>173.38</v>
      </c>
      <c r="O57" s="30">
        <v>173.38</v>
      </c>
      <c r="P57" s="34"/>
      <c r="Q57" s="25"/>
      <c r="R57" s="25"/>
      <c r="S57" s="30"/>
      <c r="T57" s="30"/>
      <c r="U57" s="25"/>
      <c r="V57" s="25"/>
      <c r="W57" s="25"/>
      <c r="X57" s="26"/>
    </row>
    <row r="58" spans="2:24" x14ac:dyDescent="0.25">
      <c r="B58" s="24" t="s">
        <v>89</v>
      </c>
      <c r="C58" s="25" t="s">
        <v>90</v>
      </c>
      <c r="D58" s="25" t="s">
        <v>79</v>
      </c>
      <c r="E58" s="25" t="s">
        <v>80</v>
      </c>
      <c r="F58" s="25" t="s">
        <v>34</v>
      </c>
      <c r="G58" s="25" t="s">
        <v>88</v>
      </c>
      <c r="H58" s="25">
        <v>1</v>
      </c>
      <c r="I58" s="30">
        <v>169.99</v>
      </c>
      <c r="J58" s="32">
        <v>0.15</v>
      </c>
      <c r="K58" s="30">
        <v>144.49</v>
      </c>
      <c r="L58" s="30">
        <v>28.89</v>
      </c>
      <c r="M58" s="30">
        <v>0</v>
      </c>
      <c r="N58" s="30">
        <v>173.38</v>
      </c>
      <c r="O58" s="30">
        <v>173.38</v>
      </c>
      <c r="P58" s="34"/>
      <c r="Q58" s="25"/>
      <c r="R58" s="25"/>
      <c r="S58" s="30"/>
      <c r="T58" s="30"/>
      <c r="U58" s="25"/>
      <c r="V58" s="25"/>
      <c r="W58" s="25"/>
      <c r="X58" s="26"/>
    </row>
    <row r="59" spans="2:24" x14ac:dyDescent="0.25">
      <c r="B59" s="24" t="s">
        <v>91</v>
      </c>
      <c r="C59" s="25" t="s">
        <v>92</v>
      </c>
      <c r="D59" s="25" t="s">
        <v>79</v>
      </c>
      <c r="E59" s="25" t="s">
        <v>80</v>
      </c>
      <c r="F59" s="25" t="s">
        <v>31</v>
      </c>
      <c r="G59" s="25" t="s">
        <v>88</v>
      </c>
      <c r="H59" s="25">
        <v>1</v>
      </c>
      <c r="I59" s="30">
        <v>99.99</v>
      </c>
      <c r="J59" s="32">
        <v>0.15</v>
      </c>
      <c r="K59" s="30">
        <v>84.99</v>
      </c>
      <c r="L59" s="30">
        <v>17</v>
      </c>
      <c r="M59" s="30">
        <v>0</v>
      </c>
      <c r="N59" s="30">
        <v>101.99</v>
      </c>
      <c r="O59" s="30">
        <v>101.99</v>
      </c>
      <c r="P59" s="34"/>
      <c r="Q59" s="25"/>
      <c r="R59" s="25"/>
      <c r="S59" s="30"/>
      <c r="T59" s="30"/>
      <c r="U59" s="25"/>
      <c r="V59" s="25"/>
      <c r="W59" s="25"/>
      <c r="X59" s="26"/>
    </row>
    <row r="60" spans="2:24" x14ac:dyDescent="0.25">
      <c r="B60" s="24" t="s">
        <v>91</v>
      </c>
      <c r="C60" s="25" t="s">
        <v>92</v>
      </c>
      <c r="D60" s="25" t="s">
        <v>79</v>
      </c>
      <c r="E60" s="25" t="s">
        <v>80</v>
      </c>
      <c r="F60" s="25" t="s">
        <v>33</v>
      </c>
      <c r="G60" s="25" t="s">
        <v>88</v>
      </c>
      <c r="H60" s="25">
        <v>1</v>
      </c>
      <c r="I60" s="30">
        <v>99.99</v>
      </c>
      <c r="J60" s="32">
        <v>0.15</v>
      </c>
      <c r="K60" s="30">
        <v>84.99</v>
      </c>
      <c r="L60" s="30">
        <v>17</v>
      </c>
      <c r="M60" s="30">
        <v>0</v>
      </c>
      <c r="N60" s="30">
        <v>101.99</v>
      </c>
      <c r="O60" s="30">
        <v>101.99</v>
      </c>
      <c r="P60" s="34"/>
      <c r="Q60" s="25"/>
      <c r="R60" s="25"/>
      <c r="S60" s="30"/>
      <c r="T60" s="30"/>
      <c r="U60" s="25"/>
      <c r="V60" s="25"/>
      <c r="W60" s="25"/>
      <c r="X60" s="26"/>
    </row>
    <row r="61" spans="2:24" ht="15.75" thickBot="1" x14ac:dyDescent="0.3">
      <c r="B61" s="27" t="s">
        <v>91</v>
      </c>
      <c r="C61" s="28" t="s">
        <v>92</v>
      </c>
      <c r="D61" s="28" t="s">
        <v>79</v>
      </c>
      <c r="E61" s="28" t="s">
        <v>80</v>
      </c>
      <c r="F61" s="28" t="s">
        <v>34</v>
      </c>
      <c r="G61" s="28" t="s">
        <v>88</v>
      </c>
      <c r="H61" s="28">
        <v>1</v>
      </c>
      <c r="I61" s="31">
        <v>99.99</v>
      </c>
      <c r="J61" s="33">
        <v>0.15</v>
      </c>
      <c r="K61" s="31">
        <v>84.99</v>
      </c>
      <c r="L61" s="31">
        <v>17</v>
      </c>
      <c r="M61" s="31">
        <v>0</v>
      </c>
      <c r="N61" s="31">
        <v>101.99</v>
      </c>
      <c r="O61" s="31">
        <v>101.99</v>
      </c>
      <c r="P61" s="35"/>
      <c r="Q61" s="28"/>
      <c r="R61" s="28"/>
      <c r="S61" s="31"/>
      <c r="T61" s="31"/>
      <c r="U61" s="28"/>
      <c r="V61" s="28"/>
      <c r="W61" s="28"/>
      <c r="X61" s="29"/>
    </row>
    <row r="62" spans="2:24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2:24" ht="15.75" thickBot="1" x14ac:dyDescent="0.3"/>
    <row r="64" spans="2:24" x14ac:dyDescent="0.25">
      <c r="B64" s="38" t="s">
        <v>93</v>
      </c>
      <c r="C64" s="12"/>
      <c r="D64" s="12"/>
      <c r="E64" s="12"/>
      <c r="F64" s="12"/>
      <c r="G64" s="12"/>
      <c r="H64" s="38"/>
      <c r="I64" s="12"/>
      <c r="J64" s="12"/>
      <c r="K64" s="12"/>
      <c r="L64" s="12"/>
      <c r="M64" s="39"/>
    </row>
    <row r="65" spans="2:13" x14ac:dyDescent="0.25">
      <c r="B65" s="37" t="s">
        <v>94</v>
      </c>
      <c r="C65" s="36"/>
      <c r="D65" s="36"/>
      <c r="E65" s="36"/>
      <c r="F65" s="36"/>
      <c r="G65" s="36"/>
      <c r="H65" s="40" t="s">
        <v>95</v>
      </c>
      <c r="I65" s="41"/>
      <c r="J65" s="41"/>
      <c r="K65" s="41"/>
      <c r="L65" s="41"/>
      <c r="M65" s="42"/>
    </row>
    <row r="66" spans="2:13" x14ac:dyDescent="0.25">
      <c r="B66" s="24" t="s">
        <v>96</v>
      </c>
      <c r="C66" s="25" t="s">
        <v>97</v>
      </c>
      <c r="D66" s="25" t="s">
        <v>98</v>
      </c>
      <c r="E66" s="25" t="s">
        <v>99</v>
      </c>
      <c r="F66" s="25" t="s">
        <v>100</v>
      </c>
      <c r="G66" s="25" t="s">
        <v>101</v>
      </c>
      <c r="H66" s="24" t="s">
        <v>96</v>
      </c>
      <c r="I66" s="25" t="s">
        <v>97</v>
      </c>
      <c r="J66" s="25" t="s">
        <v>98</v>
      </c>
      <c r="K66" s="25" t="s">
        <v>99</v>
      </c>
      <c r="L66" s="25" t="s">
        <v>100</v>
      </c>
      <c r="M66" s="26" t="s">
        <v>101</v>
      </c>
    </row>
    <row r="67" spans="2:13" x14ac:dyDescent="0.25">
      <c r="B67" s="24" t="s">
        <v>102</v>
      </c>
      <c r="C67" s="25">
        <v>0</v>
      </c>
      <c r="D67" s="25">
        <v>0</v>
      </c>
      <c r="E67" s="25">
        <v>0</v>
      </c>
      <c r="F67" s="25">
        <v>0</v>
      </c>
      <c r="G67" s="25"/>
      <c r="H67" s="24" t="s">
        <v>102</v>
      </c>
      <c r="I67" s="25">
        <v>0</v>
      </c>
      <c r="J67" s="25">
        <v>0</v>
      </c>
      <c r="K67" s="25">
        <v>0</v>
      </c>
      <c r="L67" s="25">
        <v>0</v>
      </c>
      <c r="M67" s="26"/>
    </row>
    <row r="68" spans="2:13" x14ac:dyDescent="0.25">
      <c r="B68" s="24" t="s">
        <v>103</v>
      </c>
      <c r="C68" s="25">
        <v>0</v>
      </c>
      <c r="D68" s="25">
        <v>0</v>
      </c>
      <c r="E68" s="25">
        <v>0</v>
      </c>
      <c r="F68" s="25">
        <v>0</v>
      </c>
      <c r="G68" s="25"/>
      <c r="H68" s="24" t="s">
        <v>103</v>
      </c>
      <c r="I68" s="25">
        <v>0</v>
      </c>
      <c r="J68" s="25">
        <v>0</v>
      </c>
      <c r="K68" s="25">
        <v>0</v>
      </c>
      <c r="L68" s="25">
        <v>0</v>
      </c>
      <c r="M68" s="26"/>
    </row>
    <row r="69" spans="2:13" x14ac:dyDescent="0.25">
      <c r="B69" s="24" t="s">
        <v>104</v>
      </c>
      <c r="C69" s="25">
        <v>0</v>
      </c>
      <c r="D69" s="25">
        <v>0</v>
      </c>
      <c r="E69" s="25">
        <v>0</v>
      </c>
      <c r="F69" s="25">
        <v>0</v>
      </c>
      <c r="G69" s="25"/>
      <c r="H69" s="24" t="s">
        <v>104</v>
      </c>
      <c r="I69" s="25">
        <v>0</v>
      </c>
      <c r="J69" s="25">
        <v>0</v>
      </c>
      <c r="K69" s="25">
        <v>0</v>
      </c>
      <c r="L69" s="25">
        <v>0</v>
      </c>
      <c r="M69" s="26"/>
    </row>
    <row r="70" spans="2:13" x14ac:dyDescent="0.25">
      <c r="B70" s="24" t="s">
        <v>105</v>
      </c>
      <c r="C70" s="25">
        <v>0</v>
      </c>
      <c r="D70" s="25">
        <v>0</v>
      </c>
      <c r="E70" s="25">
        <v>0</v>
      </c>
      <c r="F70" s="25">
        <v>0</v>
      </c>
      <c r="G70" s="25"/>
      <c r="H70" s="24" t="s">
        <v>105</v>
      </c>
      <c r="I70" s="25">
        <v>1</v>
      </c>
      <c r="J70" s="25">
        <v>0</v>
      </c>
      <c r="K70" s="25">
        <v>0</v>
      </c>
      <c r="L70" s="25">
        <v>0</v>
      </c>
      <c r="M70" s="26"/>
    </row>
    <row r="71" spans="2:13" x14ac:dyDescent="0.25">
      <c r="B71" s="24" t="s">
        <v>106</v>
      </c>
      <c r="C71" s="25">
        <v>0</v>
      </c>
      <c r="D71" s="25">
        <v>0</v>
      </c>
      <c r="E71" s="25">
        <v>0</v>
      </c>
      <c r="F71" s="25">
        <v>0</v>
      </c>
      <c r="G71" s="25"/>
      <c r="H71" s="24" t="s">
        <v>106</v>
      </c>
      <c r="I71" s="25">
        <v>0</v>
      </c>
      <c r="J71" s="25">
        <v>0</v>
      </c>
      <c r="K71" s="25">
        <v>0</v>
      </c>
      <c r="L71" s="25">
        <v>0</v>
      </c>
      <c r="M71" s="26"/>
    </row>
    <row r="72" spans="2:13" x14ac:dyDescent="0.25">
      <c r="B72" s="24" t="s">
        <v>107</v>
      </c>
      <c r="C72" s="25">
        <v>1</v>
      </c>
      <c r="D72" s="25">
        <v>0</v>
      </c>
      <c r="E72" s="25">
        <v>0</v>
      </c>
      <c r="F72" s="25">
        <v>0</v>
      </c>
      <c r="G72" s="25"/>
      <c r="H72" s="24" t="s">
        <v>107</v>
      </c>
      <c r="I72" s="25">
        <v>0</v>
      </c>
      <c r="J72" s="25">
        <v>0</v>
      </c>
      <c r="K72" s="25">
        <v>0</v>
      </c>
      <c r="L72" s="25">
        <v>0</v>
      </c>
      <c r="M72" s="26"/>
    </row>
    <row r="73" spans="2:13" x14ac:dyDescent="0.25">
      <c r="B73" s="24" t="s">
        <v>108</v>
      </c>
      <c r="C73" s="25">
        <v>0</v>
      </c>
      <c r="D73" s="25">
        <v>0</v>
      </c>
      <c r="E73" s="25">
        <v>0</v>
      </c>
      <c r="F73" s="25">
        <v>0</v>
      </c>
      <c r="G73" s="25"/>
      <c r="H73" s="24" t="s">
        <v>108</v>
      </c>
      <c r="I73" s="25">
        <v>1</v>
      </c>
      <c r="J73" s="25">
        <v>0</v>
      </c>
      <c r="K73" s="25">
        <v>0</v>
      </c>
      <c r="L73" s="25">
        <v>0</v>
      </c>
      <c r="M73" s="26"/>
    </row>
    <row r="74" spans="2:13" x14ac:dyDescent="0.25">
      <c r="B74" s="24" t="s">
        <v>109</v>
      </c>
      <c r="C74" s="25">
        <v>0</v>
      </c>
      <c r="D74" s="25">
        <v>0</v>
      </c>
      <c r="E74" s="25">
        <v>0</v>
      </c>
      <c r="F74" s="25">
        <v>0</v>
      </c>
      <c r="G74" s="25"/>
      <c r="H74" s="24" t="s">
        <v>109</v>
      </c>
      <c r="I74" s="25">
        <v>0</v>
      </c>
      <c r="J74" s="25">
        <v>0</v>
      </c>
      <c r="K74" s="25">
        <v>0</v>
      </c>
      <c r="L74" s="25">
        <v>0</v>
      </c>
      <c r="M74" s="26"/>
    </row>
    <row r="75" spans="2:13" x14ac:dyDescent="0.25">
      <c r="B75" s="24" t="s">
        <v>110</v>
      </c>
      <c r="C75" s="25">
        <v>1</v>
      </c>
      <c r="D75" s="25">
        <v>0</v>
      </c>
      <c r="E75" s="25">
        <v>0</v>
      </c>
      <c r="F75" s="25">
        <v>0</v>
      </c>
      <c r="G75" s="25"/>
      <c r="H75" s="24" t="s">
        <v>110</v>
      </c>
      <c r="I75" s="25">
        <v>0</v>
      </c>
      <c r="J75" s="25">
        <v>0</v>
      </c>
      <c r="K75" s="25">
        <v>0</v>
      </c>
      <c r="L75" s="25">
        <v>0</v>
      </c>
      <c r="M75" s="26"/>
    </row>
    <row r="76" spans="2:13" x14ac:dyDescent="0.25">
      <c r="B76" s="24" t="s">
        <v>111</v>
      </c>
      <c r="C76" s="25">
        <v>0</v>
      </c>
      <c r="D76" s="25">
        <v>0</v>
      </c>
      <c r="E76" s="25">
        <v>0</v>
      </c>
      <c r="F76" s="25">
        <v>0</v>
      </c>
      <c r="G76" s="25"/>
      <c r="H76" s="24" t="s">
        <v>111</v>
      </c>
      <c r="I76" s="25">
        <v>1</v>
      </c>
      <c r="J76" s="25">
        <v>0</v>
      </c>
      <c r="K76" s="25">
        <v>0</v>
      </c>
      <c r="L76" s="25">
        <v>0</v>
      </c>
      <c r="M76" s="26"/>
    </row>
    <row r="77" spans="2:13" x14ac:dyDescent="0.25">
      <c r="B77" s="24" t="s">
        <v>112</v>
      </c>
      <c r="C77" s="25">
        <v>0</v>
      </c>
      <c r="D77" s="25">
        <v>0</v>
      </c>
      <c r="E77" s="25">
        <v>0</v>
      </c>
      <c r="F77" s="25">
        <v>0</v>
      </c>
      <c r="G77" s="25"/>
      <c r="H77" s="24" t="s">
        <v>112</v>
      </c>
      <c r="I77" s="25">
        <v>0</v>
      </c>
      <c r="J77" s="25">
        <v>0</v>
      </c>
      <c r="K77" s="25">
        <v>0</v>
      </c>
      <c r="L77" s="25">
        <v>0</v>
      </c>
      <c r="M77" s="26"/>
    </row>
    <row r="78" spans="2:13" x14ac:dyDescent="0.25">
      <c r="B78" s="24" t="s">
        <v>113</v>
      </c>
      <c r="C78" s="25">
        <v>0</v>
      </c>
      <c r="D78" s="25">
        <v>0</v>
      </c>
      <c r="E78" s="25">
        <v>0</v>
      </c>
      <c r="F78" s="25">
        <v>0</v>
      </c>
      <c r="G78" s="25"/>
      <c r="H78" s="24" t="s">
        <v>113</v>
      </c>
      <c r="I78" s="25">
        <v>0</v>
      </c>
      <c r="J78" s="25">
        <v>0</v>
      </c>
      <c r="K78" s="25">
        <v>0</v>
      </c>
      <c r="L78" s="25">
        <v>0</v>
      </c>
      <c r="M78" s="26"/>
    </row>
    <row r="79" spans="2:13" x14ac:dyDescent="0.25">
      <c r="B79" s="24" t="s">
        <v>114</v>
      </c>
      <c r="C79" s="25">
        <v>0</v>
      </c>
      <c r="D79" s="25">
        <v>0</v>
      </c>
      <c r="E79" s="25">
        <v>0</v>
      </c>
      <c r="F79" s="25">
        <v>0</v>
      </c>
      <c r="G79" s="25"/>
      <c r="H79" s="24" t="s">
        <v>114</v>
      </c>
      <c r="I79" s="25">
        <v>0</v>
      </c>
      <c r="J79" s="25">
        <v>0</v>
      </c>
      <c r="K79" s="25">
        <v>0</v>
      </c>
      <c r="L79" s="25">
        <v>0</v>
      </c>
      <c r="M79" s="26"/>
    </row>
    <row r="80" spans="2:13" x14ac:dyDescent="0.25">
      <c r="B80" s="24" t="s">
        <v>115</v>
      </c>
      <c r="C80" s="25">
        <v>1</v>
      </c>
      <c r="D80" s="25">
        <v>0</v>
      </c>
      <c r="E80" s="25">
        <v>0</v>
      </c>
      <c r="F80" s="25">
        <v>0</v>
      </c>
      <c r="G80" s="25"/>
      <c r="H80" s="24" t="s">
        <v>115</v>
      </c>
      <c r="I80" s="25">
        <v>0</v>
      </c>
      <c r="J80" s="25">
        <v>0</v>
      </c>
      <c r="K80" s="25">
        <v>0</v>
      </c>
      <c r="L80" s="25">
        <v>0</v>
      </c>
      <c r="M80" s="26"/>
    </row>
    <row r="81" spans="2:13" x14ac:dyDescent="0.25">
      <c r="B81" s="24" t="s">
        <v>116</v>
      </c>
      <c r="C81" s="25">
        <v>0</v>
      </c>
      <c r="D81" s="25">
        <v>0</v>
      </c>
      <c r="E81" s="25">
        <v>0</v>
      </c>
      <c r="F81" s="25">
        <v>0</v>
      </c>
      <c r="G81" s="25"/>
      <c r="H81" s="24" t="s">
        <v>116</v>
      </c>
      <c r="I81" s="25">
        <v>0</v>
      </c>
      <c r="J81" s="25">
        <v>0</v>
      </c>
      <c r="K81" s="25">
        <v>0</v>
      </c>
      <c r="L81" s="25">
        <v>0</v>
      </c>
      <c r="M81" s="26"/>
    </row>
    <row r="82" spans="2:13" x14ac:dyDescent="0.25">
      <c r="B82" s="24" t="s">
        <v>117</v>
      </c>
      <c r="C82" s="25">
        <v>0</v>
      </c>
      <c r="D82" s="25">
        <v>0</v>
      </c>
      <c r="E82" s="25">
        <v>0</v>
      </c>
      <c r="F82" s="25">
        <v>0</v>
      </c>
      <c r="G82" s="25"/>
      <c r="H82" s="24" t="s">
        <v>117</v>
      </c>
      <c r="I82" s="25">
        <v>0</v>
      </c>
      <c r="J82" s="25">
        <v>0</v>
      </c>
      <c r="K82" s="25">
        <v>0</v>
      </c>
      <c r="L82" s="25">
        <v>0</v>
      </c>
      <c r="M82" s="26"/>
    </row>
    <row r="83" spans="2:13" x14ac:dyDescent="0.25">
      <c r="B83" s="9"/>
      <c r="C83" s="8"/>
      <c r="D83" s="8"/>
      <c r="E83" s="8"/>
      <c r="F83" s="8"/>
      <c r="G83" s="8"/>
      <c r="H83" s="9"/>
      <c r="I83" s="8"/>
      <c r="J83" s="8"/>
      <c r="K83" s="8"/>
      <c r="L83" s="8"/>
      <c r="M83" s="19"/>
    </row>
    <row r="84" spans="2:13" x14ac:dyDescent="0.25">
      <c r="B84" s="24" t="s">
        <v>118</v>
      </c>
      <c r="C84" s="25">
        <f>SUM(C67:C82)</f>
        <v>3</v>
      </c>
      <c r="D84" s="25">
        <f>SUM(D67:D82)</f>
        <v>0</v>
      </c>
      <c r="E84" s="25"/>
      <c r="F84" s="25"/>
      <c r="G84" s="25"/>
      <c r="H84" s="24" t="s">
        <v>118</v>
      </c>
      <c r="I84" s="25">
        <f>SUM(I67:I82)</f>
        <v>3</v>
      </c>
      <c r="J84" s="25">
        <f>SUM(J67:J82)</f>
        <v>0</v>
      </c>
      <c r="K84" s="25"/>
      <c r="L84" s="25"/>
      <c r="M84" s="26"/>
    </row>
    <row r="85" spans="2:13" ht="15.75" thickBot="1" x14ac:dyDescent="0.3">
      <c r="B85" s="27" t="s">
        <v>119</v>
      </c>
      <c r="C85" s="28">
        <f>(C67 * 10)+(C68 * 11)+(C69 * 11)+(C70 * 12)+(C71 * 12)+(C72 * 13)+(C73 * 14)+(C74 * 15)+(C75 * 16)+(C76 * 16)+(C77 * 16)+(C78 * 17)+(C79 * 17)+(C80 * 17)+(C81 * 18)+(C82 * 18)</f>
        <v>46</v>
      </c>
      <c r="D85" s="28">
        <f>((D67 * 10)+(D68 * 11)+(D69 * 11)+(D70 * 12)+(D71 * 12)+(D72 * 13)+(D73 * 14)+(D74 * 15)+(D75 * 16)+(D76 * 16)+(D77 * 16)+(D78 * 17)+(D79 * 17)+(D80 * 17)+(D81 * 18)+(D82 * 18)) * 0.4</f>
        <v>0</v>
      </c>
      <c r="E85" s="28">
        <f>SUM(E67:E83)</f>
        <v>0</v>
      </c>
      <c r="F85" s="28">
        <f>SUM(F67:F83)</f>
        <v>0</v>
      </c>
      <c r="G85" s="28"/>
      <c r="H85" s="27" t="s">
        <v>119</v>
      </c>
      <c r="I85" s="28">
        <f>(I67 * 10)+(I68 * 11)+(I69 * 11)+(I70 * 12)+(I71 * 12)+(I72 * 13)+(I73 * 14)+(I74 * 15)+(I75 * 16)+(I76 * 16)+(I77 * 16)+(I78 * 17)+(I79 * 17)+(I80 * 17)+(I81 * 18)+(I82 * 18)</f>
        <v>42</v>
      </c>
      <c r="J85" s="28">
        <f>((J67 * 10)+(J68 * 11)+(J69 * 11)+(J70 * 12)+(J71 * 12)+(J72 * 13)+(J73 * 14)+(J74 * 15)+(J75 * 16)+(J76 * 16)+(J77 * 16)+(J78 * 17)+(J79 * 17)+(J80 * 17)+(J81 * 18)+(J82 * 18)) * 0.4</f>
        <v>0</v>
      </c>
      <c r="K85" s="28">
        <f>SUM(K67:K83)</f>
        <v>0</v>
      </c>
      <c r="L85" s="28">
        <f>SUM(L67:L83)</f>
        <v>0</v>
      </c>
      <c r="M85" s="29"/>
    </row>
    <row r="87" spans="2:13" ht="15.75" thickBot="1" x14ac:dyDescent="0.3"/>
    <row r="88" spans="2:13" x14ac:dyDescent="0.25">
      <c r="B88" s="11"/>
      <c r="C88" s="13" t="s">
        <v>120</v>
      </c>
      <c r="D88" s="18" t="s">
        <v>121</v>
      </c>
    </row>
    <row r="89" spans="2:13" x14ac:dyDescent="0.25">
      <c r="B89" s="9" t="s">
        <v>122</v>
      </c>
      <c r="C89" s="8"/>
      <c r="D89" s="19"/>
    </row>
    <row r="90" spans="2:13" x14ac:dyDescent="0.25">
      <c r="B90" s="9" t="s">
        <v>123</v>
      </c>
      <c r="C90" s="8"/>
      <c r="D90" s="19"/>
    </row>
    <row r="91" spans="2:13" ht="15.75" thickBot="1" x14ac:dyDescent="0.3">
      <c r="B91" s="16" t="s">
        <v>124</v>
      </c>
      <c r="C91" s="17"/>
      <c r="D91" s="20"/>
    </row>
  </sheetData>
  <mergeCells count="6">
    <mergeCell ref="C3:H3"/>
    <mergeCell ref="I3:O3"/>
    <mergeCell ref="P3:X3"/>
    <mergeCell ref="B64:M64"/>
    <mergeCell ref="B65:G65"/>
    <mergeCell ref="H65:M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HTX Holiday Pop Up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Gabrielle Dunn</dc:creator>
  <cp:lastModifiedBy>Gabrielle Dunn</cp:lastModifiedBy>
  <dcterms:created xsi:type="dcterms:W3CDTF">2026-10-22T14:28:16Z</dcterms:created>
  <dcterms:modified xsi:type="dcterms:W3CDTF">2026-10-22T14:30:34Z</dcterms:modified>
</cp:coreProperties>
</file>