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dunn\Downloads\"/>
    </mc:Choice>
  </mc:AlternateContent>
  <xr:revisionPtr revIDLastSave="0" documentId="8_{48761430-9B8B-43CF-AB14-0661F41B48BA}" xr6:coauthVersionLast="47" xr6:coauthVersionMax="47" xr10:uidLastSave="{00000000-0000-0000-0000-000000000000}"/>
  <bookViews>
    <workbookView xWindow="-120" yWindow="-120" windowWidth="21060" windowHeight="12120" xr2:uid="{59E12981-66B6-4F4A-BF20-C279DFB48E19}"/>
  </bookViews>
  <sheets>
    <sheet name="Beach FC 2026 Holiday Si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41" i="1"/>
  <c r="M42" i="1"/>
  <c r="M43" i="1"/>
  <c r="L94" i="1"/>
  <c r="K94" i="1"/>
  <c r="J94" i="1"/>
  <c r="I94" i="1"/>
  <c r="F94" i="1"/>
  <c r="E94" i="1"/>
  <c r="D94" i="1"/>
  <c r="C94" i="1"/>
  <c r="J93" i="1"/>
  <c r="I93" i="1"/>
  <c r="D93" i="1"/>
  <c r="C93" i="1"/>
</calcChain>
</file>

<file path=xl/sharedStrings.xml><?xml version="1.0" encoding="utf-8"?>
<sst xmlns="http://schemas.openxmlformats.org/spreadsheetml/2006/main" count="582" uniqueCount="144">
  <si>
    <t>Club Number:</t>
  </si>
  <si>
    <t>Contract Name:</t>
  </si>
  <si>
    <t>Beach FC 2026 Holiday Site</t>
  </si>
  <si>
    <t>Activation Date:</t>
  </si>
  <si>
    <t>Rebate Recipient:</t>
  </si>
  <si>
    <t>Rebate:</t>
  </si>
  <si>
    <t>Sunset Date:</t>
  </si>
  <si>
    <t>Product Detail</t>
  </si>
  <si>
    <t>Pricing Detail</t>
  </si>
  <si>
    <t>Customization</t>
  </si>
  <si>
    <t>Description</t>
  </si>
  <si>
    <t>Item #</t>
  </si>
  <si>
    <t>Color</t>
  </si>
  <si>
    <t>Sizing</t>
  </si>
  <si>
    <t>Status</t>
  </si>
  <si>
    <t>Product Validity</t>
  </si>
  <si>
    <t>Quantity</t>
  </si>
  <si>
    <t>Retail</t>
  </si>
  <si>
    <t>Discount</t>
  </si>
  <si>
    <t>Club Price</t>
  </si>
  <si>
    <t>Rebate</t>
  </si>
  <si>
    <t>Unit Price</t>
  </si>
  <si>
    <t>Total Price</t>
  </si>
  <si>
    <t>Player Number 1 Style</t>
  </si>
  <si>
    <t>EMB or HP?</t>
  </si>
  <si>
    <t>Size</t>
  </si>
  <si>
    <t>Location</t>
  </si>
  <si>
    <t>Price</t>
  </si>
  <si>
    <t>Logo 1</t>
  </si>
  <si>
    <t>Application</t>
  </si>
  <si>
    <t>adidas Tiro 25 Competition Training Top</t>
  </si>
  <si>
    <t>A1109226</t>
  </si>
  <si>
    <t>RED</t>
  </si>
  <si>
    <t>YXS-YXL, S-3XL</t>
  </si>
  <si>
    <t>Coach Recommended</t>
  </si>
  <si>
    <t>01/01/25 - 12/31/26</t>
  </si>
  <si>
    <t>L1324755</t>
  </si>
  <si>
    <t>UPPER LEFT FRONT</t>
  </si>
  <si>
    <t>HEAT PRESS</t>
  </si>
  <si>
    <t>Recommended</t>
  </si>
  <si>
    <t>GK Recommended</t>
  </si>
  <si>
    <t>adidas Women's Tiro 25 Competition Training Top</t>
  </si>
  <si>
    <t>A1109240</t>
  </si>
  <si>
    <t>XS-2XL</t>
  </si>
  <si>
    <t>adidas Pregame T-Shirt</t>
  </si>
  <si>
    <t>A1120727</t>
  </si>
  <si>
    <t>BLACK</t>
  </si>
  <si>
    <t>YXS-YXL, XS-4XL</t>
  </si>
  <si>
    <t>06/01/25 - 12/31/30</t>
  </si>
  <si>
    <t>L0109824</t>
  </si>
  <si>
    <t>MIDDLE CENTER FRONT</t>
  </si>
  <si>
    <t>adidas Women's Pregame T-Shirt</t>
  </si>
  <si>
    <t>A1120731</t>
  </si>
  <si>
    <t>adidas Fleece Crew</t>
  </si>
  <si>
    <t>A1120199</t>
  </si>
  <si>
    <t>S-3XL</t>
  </si>
  <si>
    <t>01/01/25 - 12/31/28</t>
  </si>
  <si>
    <t>L1348792</t>
  </si>
  <si>
    <t>YXS-YXL</t>
  </si>
  <si>
    <t>adidas Fresh Long Sleeve T-Shirt 2.0</t>
  </si>
  <si>
    <t>A1130339</t>
  </si>
  <si>
    <t>WHITE</t>
  </si>
  <si>
    <t>01/01/26 - 12/31/30</t>
  </si>
  <si>
    <t>L1382943</t>
  </si>
  <si>
    <t>UPPER CENTER FRONT</t>
  </si>
  <si>
    <t>adidas Women's Fresh Long Sleeve T-Shirt 2.0</t>
  </si>
  <si>
    <t>A1129090</t>
  </si>
  <si>
    <t>adidas Tastigo 25 Short</t>
  </si>
  <si>
    <t>A1109206</t>
  </si>
  <si>
    <t>01/01/25 - 12/31/27</t>
  </si>
  <si>
    <t>Y2XS-YXL</t>
  </si>
  <si>
    <t>adidas Women's Tastigo 25 Short</t>
  </si>
  <si>
    <t>A1109212</t>
  </si>
  <si>
    <t>adidas Copa Zone Cushion 5 OTC Socks</t>
  </si>
  <si>
    <t>A1092314</t>
  </si>
  <si>
    <t>LIGHT GREY</t>
  </si>
  <si>
    <t>XS-L</t>
  </si>
  <si>
    <t>01/01/24 - 12/31/27</t>
  </si>
  <si>
    <t>adidas Stadium 4 Backpack</t>
  </si>
  <si>
    <t>A1110794</t>
  </si>
  <si>
    <t>Z</t>
  </si>
  <si>
    <t>Block Embroidery Number</t>
  </si>
  <si>
    <t>EMB2</t>
  </si>
  <si>
    <t>2"</t>
  </si>
  <si>
    <t>MIDDLE CENTER FLAP LEVL2</t>
  </si>
  <si>
    <t>L0204666</t>
  </si>
  <si>
    <t>MIDDLE CENTER FLAP</t>
  </si>
  <si>
    <t>EMBROIDERY</t>
  </si>
  <si>
    <t>adidas Squadra 25 Training Pant</t>
  </si>
  <si>
    <t>A1109174</t>
  </si>
  <si>
    <t>BLACK/WHITE</t>
  </si>
  <si>
    <t>adidas Women's Squadra 25 Training Pant</t>
  </si>
  <si>
    <t>A1109182</t>
  </si>
  <si>
    <t>adidas adiFlex Shin Guard</t>
  </si>
  <si>
    <t>A1134350</t>
  </si>
  <si>
    <t>06/01/26 - 12/31/28</t>
  </si>
  <si>
    <t>adidas FIFA World Cup 2026™ Trionda League Soccer Ball</t>
  </si>
  <si>
    <t>A1119147</t>
  </si>
  <si>
    <t>NO COLOR</t>
  </si>
  <si>
    <t>4, 5</t>
  </si>
  <si>
    <t>10/06/25 - 07/30/26</t>
  </si>
  <si>
    <t>Men's Replica adidas Argentina Home Jersey 2026</t>
  </si>
  <si>
    <t>A1126454</t>
  </si>
  <si>
    <t>XS-3XL</t>
  </si>
  <si>
    <t>10/25/25 - 07/17/27</t>
  </si>
  <si>
    <t>adidas F50 Hyperfast Pro FG Firm Ground Soccer Cleat</t>
  </si>
  <si>
    <t>A1133352</t>
  </si>
  <si>
    <t>09/22/26 - 02/01/27</t>
  </si>
  <si>
    <t>adidas Predator Pro FT FG Firm Ground Soccer Cleat</t>
  </si>
  <si>
    <t>A1133371</t>
  </si>
  <si>
    <t>adidas Predator League FT IN Indoor Soccer Shoe</t>
  </si>
  <si>
    <t>A1133375</t>
  </si>
  <si>
    <t>Team Counts</t>
  </si>
  <si>
    <t>Men</t>
  </si>
  <si>
    <t>Women</t>
  </si>
  <si>
    <t>Age Group</t>
  </si>
  <si>
    <t>New Teams</t>
  </si>
  <si>
    <t>Returning Teams</t>
  </si>
  <si>
    <t>New Players</t>
  </si>
  <si>
    <t>Returning Players</t>
  </si>
  <si>
    <t>Begin Ordering Month</t>
  </si>
  <si>
    <t>U5 / 2022</t>
  </si>
  <si>
    <t>U6 / 2021</t>
  </si>
  <si>
    <t>U7 / 2020</t>
  </si>
  <si>
    <t>U8 / 2019</t>
  </si>
  <si>
    <t>U9 / 2018</t>
  </si>
  <si>
    <t>U10 / 2017</t>
  </si>
  <si>
    <t>U11 / 2016</t>
  </si>
  <si>
    <t>U12 / 2015</t>
  </si>
  <si>
    <t>U13 / 2014</t>
  </si>
  <si>
    <t>U14 / 2013</t>
  </si>
  <si>
    <t>U15 / 2012</t>
  </si>
  <si>
    <t>U16 / 2011</t>
  </si>
  <si>
    <t>U17 / 2010</t>
  </si>
  <si>
    <t>U18 / 2009</t>
  </si>
  <si>
    <t>Adult Athletic</t>
  </si>
  <si>
    <t>Adult Generic</t>
  </si>
  <si>
    <t>Total Teams</t>
  </si>
  <si>
    <t>Total Players</t>
  </si>
  <si>
    <t>Name</t>
  </si>
  <si>
    <t>Date</t>
  </si>
  <si>
    <t>Product Forecast Signoff</t>
  </si>
  <si>
    <t>Customization Forecast Signoff</t>
  </si>
  <si>
    <t>Contract Creation 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</si>
</sst>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0549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66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9" xfId="0" applyFont="1" applyFill="1" applyBorder="1"/>
    <xf numFmtId="0" fontId="4" fillId="3" borderId="9" xfId="0" applyFont="1" applyFill="1" applyBorder="1"/>
    <xf numFmtId="14" fontId="4" fillId="3" borderId="9" xfId="0" applyNumberFormat="1" applyFont="1" applyFill="1" applyBorder="1"/>
    <xf numFmtId="0" fontId="3" fillId="2" borderId="6" xfId="0" applyFont="1" applyFill="1" applyBorder="1"/>
    <xf numFmtId="0" fontId="4" fillId="3" borderId="6" xfId="0" applyFont="1" applyFill="1" applyBorder="1"/>
    <xf numFmtId="14" fontId="4" fillId="3" borderId="6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10" fontId="2" fillId="4" borderId="9" xfId="0" applyNumberFormat="1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0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A5E1-A444-4B7F-BB46-34A7D11EC29F}">
  <dimension ref="B1:AC100"/>
  <sheetViews>
    <sheetView tabSelected="1" workbookViewId="0"/>
  </sheetViews>
  <sheetFormatPr defaultRowHeight="15" x14ac:dyDescent="0.25"/>
  <cols>
    <col min="1" max="1" width="1.7109375" customWidth="1"/>
    <col min="2" max="2" width="51.85546875" bestFit="1" customWidth="1"/>
    <col min="3" max="3" width="11.28515625" bestFit="1" customWidth="1"/>
    <col min="4" max="4" width="16" bestFit="1" customWidth="1"/>
    <col min="5" max="5" width="24.7109375" bestFit="1" customWidth="1"/>
    <col min="6" max="6" width="20.42578125" bestFit="1" customWidth="1"/>
    <col min="7" max="7" width="20.85546875" bestFit="1" customWidth="1"/>
    <col min="8" max="8" width="13.42578125" bestFit="1" customWidth="1"/>
    <col min="9" max="9" width="11.28515625" bestFit="1" customWidth="1"/>
    <col min="10" max="10" width="16" bestFit="1" customWidth="1"/>
    <col min="11" max="11" width="12" bestFit="1" customWidth="1"/>
    <col min="12" max="12" width="16.7109375" bestFit="1" customWidth="1"/>
    <col min="13" max="13" width="20.85546875" bestFit="1" customWidth="1"/>
    <col min="14" max="14" width="9.5703125" bestFit="1" customWidth="1"/>
    <col min="15" max="15" width="10.28515625" bestFit="1" customWidth="1"/>
    <col min="16" max="16" width="2.7109375" customWidth="1"/>
    <col min="17" max="17" width="24.5703125" bestFit="1" customWidth="1"/>
    <col min="18" max="18" width="11" bestFit="1" customWidth="1"/>
    <col min="19" max="19" width="6.5703125" bestFit="1" customWidth="1"/>
    <col min="20" max="20" width="4.5703125" bestFit="1" customWidth="1"/>
    <col min="21" max="21" width="25.5703125" bestFit="1" customWidth="1"/>
    <col min="22" max="22" width="7" bestFit="1" customWidth="1"/>
    <col min="23" max="23" width="2.7109375" customWidth="1"/>
    <col min="24" max="24" width="8.85546875" bestFit="1" customWidth="1"/>
    <col min="25" max="25" width="21.7109375" bestFit="1" customWidth="1"/>
    <col min="26" max="26" width="14" bestFit="1" customWidth="1"/>
    <col min="27" max="27" width="7" bestFit="1" customWidth="1"/>
  </cols>
  <sheetData>
    <row r="1" spans="2:29" ht="15.75" thickBot="1" x14ac:dyDescent="0.3">
      <c r="B1" s="4" t="s">
        <v>0</v>
      </c>
      <c r="C1" s="5">
        <v>5638232</v>
      </c>
      <c r="D1" s="4" t="s">
        <v>1</v>
      </c>
      <c r="E1" s="5" t="s">
        <v>2</v>
      </c>
      <c r="F1" s="4" t="s">
        <v>3</v>
      </c>
      <c r="G1" s="6">
        <v>46304</v>
      </c>
    </row>
    <row r="2" spans="2:29" ht="15.75" thickBot="1" x14ac:dyDescent="0.3">
      <c r="B2" s="1" t="s">
        <v>4</v>
      </c>
      <c r="C2" s="2"/>
      <c r="D2" s="1" t="s">
        <v>5</v>
      </c>
      <c r="E2" s="10">
        <v>0.14000000000000001</v>
      </c>
      <c r="F2" s="1" t="s">
        <v>6</v>
      </c>
      <c r="G2" s="3">
        <v>46387</v>
      </c>
    </row>
    <row r="3" spans="2:29" ht="15.75" thickBot="1" x14ac:dyDescent="0.3">
      <c r="B3" s="14"/>
      <c r="C3" s="15" t="s">
        <v>7</v>
      </c>
      <c r="D3" s="15"/>
      <c r="E3" s="15"/>
      <c r="F3" s="15"/>
      <c r="G3" s="15"/>
      <c r="H3" s="15"/>
      <c r="I3" s="15" t="s">
        <v>8</v>
      </c>
      <c r="J3" s="15"/>
      <c r="K3" s="15"/>
      <c r="L3" s="15"/>
      <c r="M3" s="15"/>
      <c r="N3" s="15"/>
      <c r="O3" s="15"/>
      <c r="P3" s="15" t="s">
        <v>9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2:29" x14ac:dyDescent="0.25">
      <c r="B4" s="21" t="s">
        <v>10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15</v>
      </c>
      <c r="H4" s="22" t="s">
        <v>16</v>
      </c>
      <c r="I4" s="22" t="s">
        <v>17</v>
      </c>
      <c r="J4" s="22" t="s">
        <v>18</v>
      </c>
      <c r="K4" s="22" t="s">
        <v>19</v>
      </c>
      <c r="L4" s="22" t="s">
        <v>20</v>
      </c>
      <c r="M4" s="22" t="s">
        <v>9</v>
      </c>
      <c r="N4" s="22" t="s">
        <v>21</v>
      </c>
      <c r="O4" s="22" t="s">
        <v>22</v>
      </c>
      <c r="P4" s="22"/>
      <c r="Q4" s="22" t="s">
        <v>23</v>
      </c>
      <c r="R4" s="22" t="s">
        <v>24</v>
      </c>
      <c r="S4" s="22" t="s">
        <v>12</v>
      </c>
      <c r="T4" s="22" t="s">
        <v>25</v>
      </c>
      <c r="U4" s="22" t="s">
        <v>26</v>
      </c>
      <c r="V4" s="22" t="s">
        <v>27</v>
      </c>
      <c r="W4" s="22"/>
      <c r="X4" s="22" t="s">
        <v>28</v>
      </c>
      <c r="Y4" s="22" t="s">
        <v>26</v>
      </c>
      <c r="Z4" s="22" t="s">
        <v>29</v>
      </c>
      <c r="AA4" s="22" t="s">
        <v>27</v>
      </c>
      <c r="AB4" s="22"/>
      <c r="AC4" s="23"/>
    </row>
    <row r="5" spans="2:29" x14ac:dyDescent="0.25">
      <c r="B5" s="24" t="s">
        <v>30</v>
      </c>
      <c r="C5" s="25" t="s">
        <v>31</v>
      </c>
      <c r="D5" s="25" t="s">
        <v>32</v>
      </c>
      <c r="E5" s="25" t="s">
        <v>33</v>
      </c>
      <c r="F5" s="25" t="s">
        <v>34</v>
      </c>
      <c r="G5" s="25" t="s">
        <v>35</v>
      </c>
      <c r="H5" s="25">
        <v>1</v>
      </c>
      <c r="I5" s="30">
        <v>64.989999999999995</v>
      </c>
      <c r="J5" s="32">
        <v>0.15</v>
      </c>
      <c r="K5" s="30">
        <v>55.24</v>
      </c>
      <c r="L5" s="30">
        <v>7.73</v>
      </c>
      <c r="M5" s="30">
        <f>5.25</f>
        <v>5.25</v>
      </c>
      <c r="N5" s="30">
        <v>68.22</v>
      </c>
      <c r="O5" s="30">
        <v>68.22</v>
      </c>
      <c r="P5" s="34"/>
      <c r="Q5" s="25"/>
      <c r="R5" s="25"/>
      <c r="S5" s="25"/>
      <c r="T5" s="25"/>
      <c r="U5" s="25"/>
      <c r="V5" s="30"/>
      <c r="W5" s="34"/>
      <c r="X5" s="25" t="s">
        <v>36</v>
      </c>
      <c r="Y5" s="25" t="s">
        <v>37</v>
      </c>
      <c r="Z5" s="30" t="s">
        <v>38</v>
      </c>
      <c r="AA5" s="30">
        <v>5.25</v>
      </c>
      <c r="AB5" s="25"/>
      <c r="AC5" s="26"/>
    </row>
    <row r="6" spans="2:29" x14ac:dyDescent="0.25">
      <c r="B6" s="24" t="s">
        <v>30</v>
      </c>
      <c r="C6" s="25" t="s">
        <v>31</v>
      </c>
      <c r="D6" s="25" t="s">
        <v>32</v>
      </c>
      <c r="E6" s="25" t="s">
        <v>33</v>
      </c>
      <c r="F6" s="25" t="s">
        <v>39</v>
      </c>
      <c r="G6" s="25" t="s">
        <v>35</v>
      </c>
      <c r="H6" s="25">
        <v>1</v>
      </c>
      <c r="I6" s="30">
        <v>64.989999999999995</v>
      </c>
      <c r="J6" s="32">
        <v>0.15</v>
      </c>
      <c r="K6" s="30">
        <v>55.24</v>
      </c>
      <c r="L6" s="30">
        <v>7.73</v>
      </c>
      <c r="M6" s="30">
        <f>5.25</f>
        <v>5.25</v>
      </c>
      <c r="N6" s="30">
        <v>68.22</v>
      </c>
      <c r="O6" s="30">
        <v>68.22</v>
      </c>
      <c r="P6" s="34"/>
      <c r="Q6" s="25"/>
      <c r="R6" s="25"/>
      <c r="S6" s="25"/>
      <c r="T6" s="25"/>
      <c r="U6" s="25"/>
      <c r="V6" s="30"/>
      <c r="W6" s="34"/>
      <c r="X6" s="25" t="s">
        <v>36</v>
      </c>
      <c r="Y6" s="25" t="s">
        <v>37</v>
      </c>
      <c r="Z6" s="30" t="s">
        <v>38</v>
      </c>
      <c r="AA6" s="30">
        <v>5.25</v>
      </c>
      <c r="AB6" s="25"/>
      <c r="AC6" s="26"/>
    </row>
    <row r="7" spans="2:29" x14ac:dyDescent="0.25">
      <c r="B7" s="24" t="s">
        <v>30</v>
      </c>
      <c r="C7" s="25" t="s">
        <v>31</v>
      </c>
      <c r="D7" s="25" t="s">
        <v>32</v>
      </c>
      <c r="E7" s="25" t="s">
        <v>33</v>
      </c>
      <c r="F7" s="25" t="s">
        <v>40</v>
      </c>
      <c r="G7" s="25" t="s">
        <v>35</v>
      </c>
      <c r="H7" s="25">
        <v>1</v>
      </c>
      <c r="I7" s="30">
        <v>64.989999999999995</v>
      </c>
      <c r="J7" s="32">
        <v>0.15</v>
      </c>
      <c r="K7" s="30">
        <v>55.24</v>
      </c>
      <c r="L7" s="30">
        <v>7.73</v>
      </c>
      <c r="M7" s="30">
        <f>5.25</f>
        <v>5.25</v>
      </c>
      <c r="N7" s="30">
        <v>68.22</v>
      </c>
      <c r="O7" s="30">
        <v>68.22</v>
      </c>
      <c r="P7" s="34"/>
      <c r="Q7" s="25"/>
      <c r="R7" s="25"/>
      <c r="S7" s="25"/>
      <c r="T7" s="25"/>
      <c r="U7" s="25"/>
      <c r="V7" s="30"/>
      <c r="W7" s="34"/>
      <c r="X7" s="25" t="s">
        <v>36</v>
      </c>
      <c r="Y7" s="25" t="s">
        <v>37</v>
      </c>
      <c r="Z7" s="30" t="s">
        <v>38</v>
      </c>
      <c r="AA7" s="30">
        <v>5.25</v>
      </c>
      <c r="AB7" s="25"/>
      <c r="AC7" s="26"/>
    </row>
    <row r="8" spans="2:29" x14ac:dyDescent="0.25">
      <c r="B8" s="24" t="s">
        <v>41</v>
      </c>
      <c r="C8" s="25" t="s">
        <v>42</v>
      </c>
      <c r="D8" s="25" t="s">
        <v>32</v>
      </c>
      <c r="E8" s="25" t="s">
        <v>43</v>
      </c>
      <c r="F8" s="25" t="s">
        <v>34</v>
      </c>
      <c r="G8" s="25" t="s">
        <v>35</v>
      </c>
      <c r="H8" s="25">
        <v>1</v>
      </c>
      <c r="I8" s="30">
        <v>64.989999999999995</v>
      </c>
      <c r="J8" s="32">
        <v>0.15</v>
      </c>
      <c r="K8" s="30">
        <v>55.24</v>
      </c>
      <c r="L8" s="30">
        <v>7.73</v>
      </c>
      <c r="M8" s="30">
        <f>5.25</f>
        <v>5.25</v>
      </c>
      <c r="N8" s="30">
        <v>68.22</v>
      </c>
      <c r="O8" s="30">
        <v>68.22</v>
      </c>
      <c r="P8" s="34"/>
      <c r="Q8" s="25"/>
      <c r="R8" s="25"/>
      <c r="S8" s="25"/>
      <c r="T8" s="25"/>
      <c r="U8" s="25"/>
      <c r="V8" s="30"/>
      <c r="W8" s="34"/>
      <c r="X8" s="25" t="s">
        <v>36</v>
      </c>
      <c r="Y8" s="25" t="s">
        <v>37</v>
      </c>
      <c r="Z8" s="30" t="s">
        <v>38</v>
      </c>
      <c r="AA8" s="30">
        <v>5.25</v>
      </c>
      <c r="AB8" s="25"/>
      <c r="AC8" s="26"/>
    </row>
    <row r="9" spans="2:29" x14ac:dyDescent="0.25">
      <c r="B9" s="24" t="s">
        <v>41</v>
      </c>
      <c r="C9" s="25" t="s">
        <v>42</v>
      </c>
      <c r="D9" s="25" t="s">
        <v>32</v>
      </c>
      <c r="E9" s="25" t="s">
        <v>43</v>
      </c>
      <c r="F9" s="25" t="s">
        <v>39</v>
      </c>
      <c r="G9" s="25" t="s">
        <v>35</v>
      </c>
      <c r="H9" s="25">
        <v>1</v>
      </c>
      <c r="I9" s="30">
        <v>64.989999999999995</v>
      </c>
      <c r="J9" s="32">
        <v>0.15</v>
      </c>
      <c r="K9" s="30">
        <v>55.24</v>
      </c>
      <c r="L9" s="30">
        <v>7.73</v>
      </c>
      <c r="M9" s="30">
        <f>5.25</f>
        <v>5.25</v>
      </c>
      <c r="N9" s="30">
        <v>68.22</v>
      </c>
      <c r="O9" s="30">
        <v>68.22</v>
      </c>
      <c r="P9" s="34"/>
      <c r="Q9" s="25"/>
      <c r="R9" s="25"/>
      <c r="S9" s="25"/>
      <c r="T9" s="25"/>
      <c r="U9" s="25"/>
      <c r="V9" s="30"/>
      <c r="W9" s="34"/>
      <c r="X9" s="25" t="s">
        <v>36</v>
      </c>
      <c r="Y9" s="25" t="s">
        <v>37</v>
      </c>
      <c r="Z9" s="30" t="s">
        <v>38</v>
      </c>
      <c r="AA9" s="30">
        <v>5.25</v>
      </c>
      <c r="AB9" s="25"/>
      <c r="AC9" s="26"/>
    </row>
    <row r="10" spans="2:29" x14ac:dyDescent="0.25">
      <c r="B10" s="24" t="s">
        <v>41</v>
      </c>
      <c r="C10" s="25" t="s">
        <v>42</v>
      </c>
      <c r="D10" s="25" t="s">
        <v>32</v>
      </c>
      <c r="E10" s="25" t="s">
        <v>43</v>
      </c>
      <c r="F10" s="25" t="s">
        <v>40</v>
      </c>
      <c r="G10" s="25" t="s">
        <v>35</v>
      </c>
      <c r="H10" s="25">
        <v>1</v>
      </c>
      <c r="I10" s="30">
        <v>64.989999999999995</v>
      </c>
      <c r="J10" s="32">
        <v>0.15</v>
      </c>
      <c r="K10" s="30">
        <v>55.24</v>
      </c>
      <c r="L10" s="30">
        <v>7.73</v>
      </c>
      <c r="M10" s="30">
        <f>5.25</f>
        <v>5.25</v>
      </c>
      <c r="N10" s="30">
        <v>68.22</v>
      </c>
      <c r="O10" s="30">
        <v>68.22</v>
      </c>
      <c r="P10" s="34"/>
      <c r="Q10" s="25"/>
      <c r="R10" s="25"/>
      <c r="S10" s="25"/>
      <c r="T10" s="25"/>
      <c r="U10" s="25"/>
      <c r="V10" s="30"/>
      <c r="W10" s="34"/>
      <c r="X10" s="25" t="s">
        <v>36</v>
      </c>
      <c r="Y10" s="25" t="s">
        <v>37</v>
      </c>
      <c r="Z10" s="30" t="s">
        <v>38</v>
      </c>
      <c r="AA10" s="30">
        <v>5.25</v>
      </c>
      <c r="AB10" s="25"/>
      <c r="AC10" s="26"/>
    </row>
    <row r="11" spans="2:29" x14ac:dyDescent="0.25">
      <c r="B11" s="24" t="s">
        <v>44</v>
      </c>
      <c r="C11" s="25" t="s">
        <v>45</v>
      </c>
      <c r="D11" s="25" t="s">
        <v>46</v>
      </c>
      <c r="E11" s="25" t="s">
        <v>47</v>
      </c>
      <c r="F11" s="25" t="s">
        <v>34</v>
      </c>
      <c r="G11" s="25" t="s">
        <v>48</v>
      </c>
      <c r="H11" s="25">
        <v>1</v>
      </c>
      <c r="I11" s="30">
        <v>29.99</v>
      </c>
      <c r="J11" s="32">
        <v>0.15</v>
      </c>
      <c r="K11" s="30">
        <v>25.49</v>
      </c>
      <c r="L11" s="30">
        <v>3.57</v>
      </c>
      <c r="M11" s="30">
        <f>5.25</f>
        <v>5.25</v>
      </c>
      <c r="N11" s="30">
        <v>34.31</v>
      </c>
      <c r="O11" s="30">
        <v>34.31</v>
      </c>
      <c r="P11" s="34"/>
      <c r="Q11" s="25"/>
      <c r="R11" s="25"/>
      <c r="S11" s="25"/>
      <c r="T11" s="25"/>
      <c r="U11" s="25"/>
      <c r="V11" s="30"/>
      <c r="W11" s="34"/>
      <c r="X11" s="25" t="s">
        <v>49</v>
      </c>
      <c r="Y11" s="25" t="s">
        <v>50</v>
      </c>
      <c r="Z11" s="30" t="s">
        <v>38</v>
      </c>
      <c r="AA11" s="30">
        <v>5.25</v>
      </c>
      <c r="AB11" s="25"/>
      <c r="AC11" s="26"/>
    </row>
    <row r="12" spans="2:29" x14ac:dyDescent="0.25">
      <c r="B12" s="24" t="s">
        <v>44</v>
      </c>
      <c r="C12" s="25" t="s">
        <v>45</v>
      </c>
      <c r="D12" s="25" t="s">
        <v>46</v>
      </c>
      <c r="E12" s="25" t="s">
        <v>47</v>
      </c>
      <c r="F12" s="25" t="s">
        <v>39</v>
      </c>
      <c r="G12" s="25" t="s">
        <v>48</v>
      </c>
      <c r="H12" s="25">
        <v>1</v>
      </c>
      <c r="I12" s="30">
        <v>29.99</v>
      </c>
      <c r="J12" s="32">
        <v>0.15</v>
      </c>
      <c r="K12" s="30">
        <v>25.49</v>
      </c>
      <c r="L12" s="30">
        <v>3.57</v>
      </c>
      <c r="M12" s="30">
        <f>5.25</f>
        <v>5.25</v>
      </c>
      <c r="N12" s="30">
        <v>34.31</v>
      </c>
      <c r="O12" s="30">
        <v>34.31</v>
      </c>
      <c r="P12" s="34"/>
      <c r="Q12" s="25"/>
      <c r="R12" s="25"/>
      <c r="S12" s="25"/>
      <c r="T12" s="25"/>
      <c r="U12" s="25"/>
      <c r="V12" s="30"/>
      <c r="W12" s="34"/>
      <c r="X12" s="25" t="s">
        <v>49</v>
      </c>
      <c r="Y12" s="25" t="s">
        <v>50</v>
      </c>
      <c r="Z12" s="30" t="s">
        <v>38</v>
      </c>
      <c r="AA12" s="30">
        <v>5.25</v>
      </c>
      <c r="AB12" s="25"/>
      <c r="AC12" s="26"/>
    </row>
    <row r="13" spans="2:29" x14ac:dyDescent="0.25">
      <c r="B13" s="24" t="s">
        <v>44</v>
      </c>
      <c r="C13" s="25" t="s">
        <v>45</v>
      </c>
      <c r="D13" s="25" t="s">
        <v>46</v>
      </c>
      <c r="E13" s="25" t="s">
        <v>47</v>
      </c>
      <c r="F13" s="25" t="s">
        <v>40</v>
      </c>
      <c r="G13" s="25" t="s">
        <v>48</v>
      </c>
      <c r="H13" s="25">
        <v>1</v>
      </c>
      <c r="I13" s="30">
        <v>29.99</v>
      </c>
      <c r="J13" s="32">
        <v>0.15</v>
      </c>
      <c r="K13" s="30">
        <v>25.49</v>
      </c>
      <c r="L13" s="30">
        <v>3.57</v>
      </c>
      <c r="M13" s="30">
        <f>5.25</f>
        <v>5.25</v>
      </c>
      <c r="N13" s="30">
        <v>34.31</v>
      </c>
      <c r="O13" s="30">
        <v>34.31</v>
      </c>
      <c r="P13" s="34"/>
      <c r="Q13" s="25"/>
      <c r="R13" s="25"/>
      <c r="S13" s="25"/>
      <c r="T13" s="25"/>
      <c r="U13" s="25"/>
      <c r="V13" s="30"/>
      <c r="W13" s="34"/>
      <c r="X13" s="25" t="s">
        <v>49</v>
      </c>
      <c r="Y13" s="25" t="s">
        <v>50</v>
      </c>
      <c r="Z13" s="30" t="s">
        <v>38</v>
      </c>
      <c r="AA13" s="30">
        <v>5.25</v>
      </c>
      <c r="AB13" s="25"/>
      <c r="AC13" s="26"/>
    </row>
    <row r="14" spans="2:29" x14ac:dyDescent="0.25">
      <c r="B14" s="24" t="s">
        <v>51</v>
      </c>
      <c r="C14" s="25" t="s">
        <v>52</v>
      </c>
      <c r="D14" s="25" t="s">
        <v>46</v>
      </c>
      <c r="E14" s="25" t="s">
        <v>43</v>
      </c>
      <c r="F14" s="25" t="s">
        <v>34</v>
      </c>
      <c r="G14" s="25" t="s">
        <v>48</v>
      </c>
      <c r="H14" s="25">
        <v>1</v>
      </c>
      <c r="I14" s="30">
        <v>29.99</v>
      </c>
      <c r="J14" s="32">
        <v>0.15</v>
      </c>
      <c r="K14" s="30">
        <v>25.49</v>
      </c>
      <c r="L14" s="30">
        <v>3.57</v>
      </c>
      <c r="M14" s="30">
        <f>5.25</f>
        <v>5.25</v>
      </c>
      <c r="N14" s="30">
        <v>34.31</v>
      </c>
      <c r="O14" s="30">
        <v>34.31</v>
      </c>
      <c r="P14" s="34"/>
      <c r="Q14" s="25"/>
      <c r="R14" s="25"/>
      <c r="S14" s="25"/>
      <c r="T14" s="25"/>
      <c r="U14" s="25"/>
      <c r="V14" s="30"/>
      <c r="W14" s="34"/>
      <c r="X14" s="25" t="s">
        <v>49</v>
      </c>
      <c r="Y14" s="25" t="s">
        <v>50</v>
      </c>
      <c r="Z14" s="30" t="s">
        <v>38</v>
      </c>
      <c r="AA14" s="30">
        <v>5.25</v>
      </c>
      <c r="AB14" s="25"/>
      <c r="AC14" s="26"/>
    </row>
    <row r="15" spans="2:29" x14ac:dyDescent="0.25">
      <c r="B15" s="24" t="s">
        <v>51</v>
      </c>
      <c r="C15" s="25" t="s">
        <v>52</v>
      </c>
      <c r="D15" s="25" t="s">
        <v>46</v>
      </c>
      <c r="E15" s="25" t="s">
        <v>43</v>
      </c>
      <c r="F15" s="25" t="s">
        <v>39</v>
      </c>
      <c r="G15" s="25" t="s">
        <v>48</v>
      </c>
      <c r="H15" s="25">
        <v>1</v>
      </c>
      <c r="I15" s="30">
        <v>29.99</v>
      </c>
      <c r="J15" s="32">
        <v>0.15</v>
      </c>
      <c r="K15" s="30">
        <v>25.49</v>
      </c>
      <c r="L15" s="30">
        <v>3.57</v>
      </c>
      <c r="M15" s="30">
        <f>5.25</f>
        <v>5.25</v>
      </c>
      <c r="N15" s="30">
        <v>34.31</v>
      </c>
      <c r="O15" s="30">
        <v>34.31</v>
      </c>
      <c r="P15" s="34"/>
      <c r="Q15" s="25"/>
      <c r="R15" s="25"/>
      <c r="S15" s="25"/>
      <c r="T15" s="25"/>
      <c r="U15" s="25"/>
      <c r="V15" s="30"/>
      <c r="W15" s="34"/>
      <c r="X15" s="25" t="s">
        <v>49</v>
      </c>
      <c r="Y15" s="25" t="s">
        <v>50</v>
      </c>
      <c r="Z15" s="30" t="s">
        <v>38</v>
      </c>
      <c r="AA15" s="30">
        <v>5.25</v>
      </c>
      <c r="AB15" s="25"/>
      <c r="AC15" s="26"/>
    </row>
    <row r="16" spans="2:29" x14ac:dyDescent="0.25">
      <c r="B16" s="24" t="s">
        <v>51</v>
      </c>
      <c r="C16" s="25" t="s">
        <v>52</v>
      </c>
      <c r="D16" s="25" t="s">
        <v>46</v>
      </c>
      <c r="E16" s="25" t="s">
        <v>43</v>
      </c>
      <c r="F16" s="25" t="s">
        <v>40</v>
      </c>
      <c r="G16" s="25" t="s">
        <v>48</v>
      </c>
      <c r="H16" s="25">
        <v>1</v>
      </c>
      <c r="I16" s="30">
        <v>29.99</v>
      </c>
      <c r="J16" s="32">
        <v>0.15</v>
      </c>
      <c r="K16" s="30">
        <v>25.49</v>
      </c>
      <c r="L16" s="30">
        <v>3.57</v>
      </c>
      <c r="M16" s="30">
        <f>5.25</f>
        <v>5.25</v>
      </c>
      <c r="N16" s="30">
        <v>34.31</v>
      </c>
      <c r="O16" s="30">
        <v>34.31</v>
      </c>
      <c r="P16" s="34"/>
      <c r="Q16" s="25"/>
      <c r="R16" s="25"/>
      <c r="S16" s="25"/>
      <c r="T16" s="25"/>
      <c r="U16" s="25"/>
      <c r="V16" s="30"/>
      <c r="W16" s="34"/>
      <c r="X16" s="25" t="s">
        <v>49</v>
      </c>
      <c r="Y16" s="25" t="s">
        <v>50</v>
      </c>
      <c r="Z16" s="30" t="s">
        <v>38</v>
      </c>
      <c r="AA16" s="30">
        <v>5.25</v>
      </c>
      <c r="AB16" s="25"/>
      <c r="AC16" s="26"/>
    </row>
    <row r="17" spans="2:29" x14ac:dyDescent="0.25">
      <c r="B17" s="24" t="s">
        <v>53</v>
      </c>
      <c r="C17" s="25" t="s">
        <v>54</v>
      </c>
      <c r="D17" s="25" t="s">
        <v>46</v>
      </c>
      <c r="E17" s="25" t="s">
        <v>55</v>
      </c>
      <c r="F17" s="25" t="s">
        <v>34</v>
      </c>
      <c r="G17" s="25" t="s">
        <v>56</v>
      </c>
      <c r="H17" s="25">
        <v>1</v>
      </c>
      <c r="I17" s="30">
        <v>44.99</v>
      </c>
      <c r="J17" s="32">
        <v>0.15</v>
      </c>
      <c r="K17" s="30">
        <v>38.24</v>
      </c>
      <c r="L17" s="30">
        <v>5.35</v>
      </c>
      <c r="M17" s="30">
        <f>5.25</f>
        <v>5.25</v>
      </c>
      <c r="N17" s="30">
        <v>48.84</v>
      </c>
      <c r="O17" s="30">
        <v>48.84</v>
      </c>
      <c r="P17" s="34"/>
      <c r="Q17" s="25"/>
      <c r="R17" s="25"/>
      <c r="S17" s="25"/>
      <c r="T17" s="25"/>
      <c r="U17" s="25"/>
      <c r="V17" s="30"/>
      <c r="W17" s="34"/>
      <c r="X17" s="25" t="s">
        <v>57</v>
      </c>
      <c r="Y17" s="25" t="s">
        <v>50</v>
      </c>
      <c r="Z17" s="30" t="s">
        <v>38</v>
      </c>
      <c r="AA17" s="30">
        <v>5.25</v>
      </c>
      <c r="AB17" s="25"/>
      <c r="AC17" s="26"/>
    </row>
    <row r="18" spans="2:29" x14ac:dyDescent="0.25">
      <c r="B18" s="24" t="s">
        <v>53</v>
      </c>
      <c r="C18" s="25" t="s">
        <v>54</v>
      </c>
      <c r="D18" s="25" t="s">
        <v>46</v>
      </c>
      <c r="E18" s="25" t="s">
        <v>55</v>
      </c>
      <c r="F18" s="25" t="s">
        <v>39</v>
      </c>
      <c r="G18" s="25" t="s">
        <v>56</v>
      </c>
      <c r="H18" s="25">
        <v>1</v>
      </c>
      <c r="I18" s="30">
        <v>44.99</v>
      </c>
      <c r="J18" s="32">
        <v>0.15</v>
      </c>
      <c r="K18" s="30">
        <v>38.24</v>
      </c>
      <c r="L18" s="30">
        <v>5.35</v>
      </c>
      <c r="M18" s="30">
        <f>5.25</f>
        <v>5.25</v>
      </c>
      <c r="N18" s="30">
        <v>48.84</v>
      </c>
      <c r="O18" s="30">
        <v>48.84</v>
      </c>
      <c r="P18" s="34"/>
      <c r="Q18" s="25"/>
      <c r="R18" s="25"/>
      <c r="S18" s="25"/>
      <c r="T18" s="25"/>
      <c r="U18" s="25"/>
      <c r="V18" s="30"/>
      <c r="W18" s="34"/>
      <c r="X18" s="25" t="s">
        <v>57</v>
      </c>
      <c r="Y18" s="25" t="s">
        <v>50</v>
      </c>
      <c r="Z18" s="30" t="s">
        <v>38</v>
      </c>
      <c r="AA18" s="30">
        <v>5.25</v>
      </c>
      <c r="AB18" s="25"/>
      <c r="AC18" s="26"/>
    </row>
    <row r="19" spans="2:29" x14ac:dyDescent="0.25">
      <c r="B19" s="24" t="s">
        <v>53</v>
      </c>
      <c r="C19" s="25" t="s">
        <v>54</v>
      </c>
      <c r="D19" s="25" t="s">
        <v>46</v>
      </c>
      <c r="E19" s="25" t="s">
        <v>55</v>
      </c>
      <c r="F19" s="25" t="s">
        <v>40</v>
      </c>
      <c r="G19" s="25" t="s">
        <v>56</v>
      </c>
      <c r="H19" s="25">
        <v>1</v>
      </c>
      <c r="I19" s="30">
        <v>44.99</v>
      </c>
      <c r="J19" s="32">
        <v>0.15</v>
      </c>
      <c r="K19" s="30">
        <v>38.24</v>
      </c>
      <c r="L19" s="30">
        <v>5.35</v>
      </c>
      <c r="M19" s="30">
        <f>5.25</f>
        <v>5.25</v>
      </c>
      <c r="N19" s="30">
        <v>48.84</v>
      </c>
      <c r="O19" s="30">
        <v>48.84</v>
      </c>
      <c r="P19" s="34"/>
      <c r="Q19" s="25"/>
      <c r="R19" s="25"/>
      <c r="S19" s="25"/>
      <c r="T19" s="25"/>
      <c r="U19" s="25"/>
      <c r="V19" s="30"/>
      <c r="W19" s="34"/>
      <c r="X19" s="25" t="s">
        <v>57</v>
      </c>
      <c r="Y19" s="25" t="s">
        <v>50</v>
      </c>
      <c r="Z19" s="30" t="s">
        <v>38</v>
      </c>
      <c r="AA19" s="30">
        <v>5.25</v>
      </c>
      <c r="AB19" s="25"/>
      <c r="AC19" s="26"/>
    </row>
    <row r="20" spans="2:29" x14ac:dyDescent="0.25">
      <c r="B20" s="24" t="s">
        <v>53</v>
      </c>
      <c r="C20" s="25" t="s">
        <v>54</v>
      </c>
      <c r="D20" s="25" t="s">
        <v>46</v>
      </c>
      <c r="E20" s="25" t="s">
        <v>58</v>
      </c>
      <c r="F20" s="25" t="s">
        <v>34</v>
      </c>
      <c r="G20" s="25" t="s">
        <v>56</v>
      </c>
      <c r="H20" s="25">
        <v>1</v>
      </c>
      <c r="I20" s="30">
        <v>39.99</v>
      </c>
      <c r="J20" s="32">
        <v>0.15</v>
      </c>
      <c r="K20" s="30">
        <v>33.99</v>
      </c>
      <c r="L20" s="30">
        <v>4.76</v>
      </c>
      <c r="M20" s="30">
        <f>5.25</f>
        <v>5.25</v>
      </c>
      <c r="N20" s="30">
        <v>44</v>
      </c>
      <c r="O20" s="30">
        <v>44</v>
      </c>
      <c r="P20" s="34"/>
      <c r="Q20" s="25"/>
      <c r="R20" s="25"/>
      <c r="S20" s="25"/>
      <c r="T20" s="25"/>
      <c r="U20" s="25"/>
      <c r="V20" s="30"/>
      <c r="W20" s="34"/>
      <c r="X20" s="25" t="s">
        <v>57</v>
      </c>
      <c r="Y20" s="25" t="s">
        <v>50</v>
      </c>
      <c r="Z20" s="30" t="s">
        <v>38</v>
      </c>
      <c r="AA20" s="30">
        <v>5.25</v>
      </c>
      <c r="AB20" s="25"/>
      <c r="AC20" s="26"/>
    </row>
    <row r="21" spans="2:29" x14ac:dyDescent="0.25">
      <c r="B21" s="24" t="s">
        <v>53</v>
      </c>
      <c r="C21" s="25" t="s">
        <v>54</v>
      </c>
      <c r="D21" s="25" t="s">
        <v>46</v>
      </c>
      <c r="E21" s="25" t="s">
        <v>58</v>
      </c>
      <c r="F21" s="25" t="s">
        <v>39</v>
      </c>
      <c r="G21" s="25" t="s">
        <v>56</v>
      </c>
      <c r="H21" s="25">
        <v>1</v>
      </c>
      <c r="I21" s="30">
        <v>39.99</v>
      </c>
      <c r="J21" s="32">
        <v>0.15</v>
      </c>
      <c r="K21" s="30">
        <v>33.99</v>
      </c>
      <c r="L21" s="30">
        <v>4.76</v>
      </c>
      <c r="M21" s="30">
        <f>5.25</f>
        <v>5.25</v>
      </c>
      <c r="N21" s="30">
        <v>44</v>
      </c>
      <c r="O21" s="30">
        <v>44</v>
      </c>
      <c r="P21" s="34"/>
      <c r="Q21" s="25"/>
      <c r="R21" s="25"/>
      <c r="S21" s="25"/>
      <c r="T21" s="25"/>
      <c r="U21" s="25"/>
      <c r="V21" s="30"/>
      <c r="W21" s="34"/>
      <c r="X21" s="25" t="s">
        <v>57</v>
      </c>
      <c r="Y21" s="25" t="s">
        <v>50</v>
      </c>
      <c r="Z21" s="30" t="s">
        <v>38</v>
      </c>
      <c r="AA21" s="30">
        <v>5.25</v>
      </c>
      <c r="AB21" s="25"/>
      <c r="AC21" s="26"/>
    </row>
    <row r="22" spans="2:29" x14ac:dyDescent="0.25">
      <c r="B22" s="24" t="s">
        <v>53</v>
      </c>
      <c r="C22" s="25" t="s">
        <v>54</v>
      </c>
      <c r="D22" s="25" t="s">
        <v>46</v>
      </c>
      <c r="E22" s="25" t="s">
        <v>58</v>
      </c>
      <c r="F22" s="25" t="s">
        <v>40</v>
      </c>
      <c r="G22" s="25" t="s">
        <v>56</v>
      </c>
      <c r="H22" s="25">
        <v>1</v>
      </c>
      <c r="I22" s="30">
        <v>39.99</v>
      </c>
      <c r="J22" s="32">
        <v>0.15</v>
      </c>
      <c r="K22" s="30">
        <v>33.99</v>
      </c>
      <c r="L22" s="30">
        <v>4.76</v>
      </c>
      <c r="M22" s="30">
        <f>5.25</f>
        <v>5.25</v>
      </c>
      <c r="N22" s="30">
        <v>44</v>
      </c>
      <c r="O22" s="30">
        <v>44</v>
      </c>
      <c r="P22" s="34"/>
      <c r="Q22" s="25"/>
      <c r="R22" s="25"/>
      <c r="S22" s="25"/>
      <c r="T22" s="25"/>
      <c r="U22" s="25"/>
      <c r="V22" s="30"/>
      <c r="W22" s="34"/>
      <c r="X22" s="25" t="s">
        <v>57</v>
      </c>
      <c r="Y22" s="25" t="s">
        <v>50</v>
      </c>
      <c r="Z22" s="30" t="s">
        <v>38</v>
      </c>
      <c r="AA22" s="30">
        <v>5.25</v>
      </c>
      <c r="AB22" s="25"/>
      <c r="AC22" s="26"/>
    </row>
    <row r="23" spans="2:29" x14ac:dyDescent="0.25">
      <c r="B23" s="24" t="s">
        <v>59</v>
      </c>
      <c r="C23" s="25" t="s">
        <v>60</v>
      </c>
      <c r="D23" s="25" t="s">
        <v>61</v>
      </c>
      <c r="E23" s="25" t="s">
        <v>55</v>
      </c>
      <c r="F23" s="25" t="s">
        <v>34</v>
      </c>
      <c r="G23" s="25" t="s">
        <v>62</v>
      </c>
      <c r="H23" s="25">
        <v>1</v>
      </c>
      <c r="I23" s="30">
        <v>24.99</v>
      </c>
      <c r="J23" s="32">
        <v>0.15</v>
      </c>
      <c r="K23" s="30">
        <v>21.24</v>
      </c>
      <c r="L23" s="30">
        <v>2.97</v>
      </c>
      <c r="M23" s="30">
        <f>5.25</f>
        <v>5.25</v>
      </c>
      <c r="N23" s="30">
        <v>29.46</v>
      </c>
      <c r="O23" s="30">
        <v>29.46</v>
      </c>
      <c r="P23" s="34"/>
      <c r="Q23" s="25"/>
      <c r="R23" s="25"/>
      <c r="S23" s="25"/>
      <c r="T23" s="25"/>
      <c r="U23" s="25"/>
      <c r="V23" s="30"/>
      <c r="W23" s="34"/>
      <c r="X23" s="25" t="s">
        <v>63</v>
      </c>
      <c r="Y23" s="25" t="s">
        <v>64</v>
      </c>
      <c r="Z23" s="30" t="s">
        <v>38</v>
      </c>
      <c r="AA23" s="30">
        <v>5.25</v>
      </c>
      <c r="AB23" s="25"/>
      <c r="AC23" s="26"/>
    </row>
    <row r="24" spans="2:29" x14ac:dyDescent="0.25">
      <c r="B24" s="24" t="s">
        <v>59</v>
      </c>
      <c r="C24" s="25" t="s">
        <v>60</v>
      </c>
      <c r="D24" s="25" t="s">
        <v>61</v>
      </c>
      <c r="E24" s="25" t="s">
        <v>55</v>
      </c>
      <c r="F24" s="25" t="s">
        <v>39</v>
      </c>
      <c r="G24" s="25" t="s">
        <v>62</v>
      </c>
      <c r="H24" s="25">
        <v>1</v>
      </c>
      <c r="I24" s="30">
        <v>24.99</v>
      </c>
      <c r="J24" s="32">
        <v>0.15</v>
      </c>
      <c r="K24" s="30">
        <v>21.24</v>
      </c>
      <c r="L24" s="30">
        <v>2.97</v>
      </c>
      <c r="M24" s="30">
        <f>5.25</f>
        <v>5.25</v>
      </c>
      <c r="N24" s="30">
        <v>29.46</v>
      </c>
      <c r="O24" s="30">
        <v>29.46</v>
      </c>
      <c r="P24" s="34"/>
      <c r="Q24" s="25"/>
      <c r="R24" s="25"/>
      <c r="S24" s="25"/>
      <c r="T24" s="25"/>
      <c r="U24" s="25"/>
      <c r="V24" s="30"/>
      <c r="W24" s="34"/>
      <c r="X24" s="25" t="s">
        <v>63</v>
      </c>
      <c r="Y24" s="25" t="s">
        <v>64</v>
      </c>
      <c r="Z24" s="30" t="s">
        <v>38</v>
      </c>
      <c r="AA24" s="30">
        <v>5.25</v>
      </c>
      <c r="AB24" s="25"/>
      <c r="AC24" s="26"/>
    </row>
    <row r="25" spans="2:29" x14ac:dyDescent="0.25">
      <c r="B25" s="24" t="s">
        <v>59</v>
      </c>
      <c r="C25" s="25" t="s">
        <v>60</v>
      </c>
      <c r="D25" s="25" t="s">
        <v>61</v>
      </c>
      <c r="E25" s="25" t="s">
        <v>55</v>
      </c>
      <c r="F25" s="25" t="s">
        <v>40</v>
      </c>
      <c r="G25" s="25" t="s">
        <v>62</v>
      </c>
      <c r="H25" s="25">
        <v>1</v>
      </c>
      <c r="I25" s="30">
        <v>24.99</v>
      </c>
      <c r="J25" s="32">
        <v>0.15</v>
      </c>
      <c r="K25" s="30">
        <v>21.24</v>
      </c>
      <c r="L25" s="30">
        <v>2.97</v>
      </c>
      <c r="M25" s="30">
        <f>5.25</f>
        <v>5.25</v>
      </c>
      <c r="N25" s="30">
        <v>29.46</v>
      </c>
      <c r="O25" s="30">
        <v>29.46</v>
      </c>
      <c r="P25" s="34"/>
      <c r="Q25" s="25"/>
      <c r="R25" s="25"/>
      <c r="S25" s="25"/>
      <c r="T25" s="25"/>
      <c r="U25" s="25"/>
      <c r="V25" s="30"/>
      <c r="W25" s="34"/>
      <c r="X25" s="25" t="s">
        <v>63</v>
      </c>
      <c r="Y25" s="25" t="s">
        <v>64</v>
      </c>
      <c r="Z25" s="30" t="s">
        <v>38</v>
      </c>
      <c r="AA25" s="30">
        <v>5.25</v>
      </c>
      <c r="AB25" s="25"/>
      <c r="AC25" s="26"/>
    </row>
    <row r="26" spans="2:29" x14ac:dyDescent="0.25">
      <c r="B26" s="24" t="s">
        <v>65</v>
      </c>
      <c r="C26" s="25" t="s">
        <v>66</v>
      </c>
      <c r="D26" s="25" t="s">
        <v>61</v>
      </c>
      <c r="E26" s="25" t="s">
        <v>43</v>
      </c>
      <c r="F26" s="25" t="s">
        <v>34</v>
      </c>
      <c r="G26" s="25" t="s">
        <v>62</v>
      </c>
      <c r="H26" s="25">
        <v>1</v>
      </c>
      <c r="I26" s="30">
        <v>24.99</v>
      </c>
      <c r="J26" s="32">
        <v>0.15</v>
      </c>
      <c r="K26" s="30">
        <v>21.24</v>
      </c>
      <c r="L26" s="30">
        <v>2.97</v>
      </c>
      <c r="M26" s="30">
        <f>5.25</f>
        <v>5.25</v>
      </c>
      <c r="N26" s="30">
        <v>29.46</v>
      </c>
      <c r="O26" s="30">
        <v>29.46</v>
      </c>
      <c r="P26" s="34"/>
      <c r="Q26" s="25"/>
      <c r="R26" s="25"/>
      <c r="S26" s="25"/>
      <c r="T26" s="25"/>
      <c r="U26" s="25"/>
      <c r="V26" s="30"/>
      <c r="W26" s="34"/>
      <c r="X26" s="25" t="s">
        <v>63</v>
      </c>
      <c r="Y26" s="25" t="s">
        <v>64</v>
      </c>
      <c r="Z26" s="30" t="s">
        <v>38</v>
      </c>
      <c r="AA26" s="30">
        <v>5.25</v>
      </c>
      <c r="AB26" s="25"/>
      <c r="AC26" s="26"/>
    </row>
    <row r="27" spans="2:29" x14ac:dyDescent="0.25">
      <c r="B27" s="24" t="s">
        <v>65</v>
      </c>
      <c r="C27" s="25" t="s">
        <v>66</v>
      </c>
      <c r="D27" s="25" t="s">
        <v>61</v>
      </c>
      <c r="E27" s="25" t="s">
        <v>43</v>
      </c>
      <c r="F27" s="25" t="s">
        <v>39</v>
      </c>
      <c r="G27" s="25" t="s">
        <v>62</v>
      </c>
      <c r="H27" s="25">
        <v>1</v>
      </c>
      <c r="I27" s="30">
        <v>24.99</v>
      </c>
      <c r="J27" s="32">
        <v>0.15</v>
      </c>
      <c r="K27" s="30">
        <v>21.24</v>
      </c>
      <c r="L27" s="30">
        <v>2.97</v>
      </c>
      <c r="M27" s="30">
        <f>5.25</f>
        <v>5.25</v>
      </c>
      <c r="N27" s="30">
        <v>29.46</v>
      </c>
      <c r="O27" s="30">
        <v>29.46</v>
      </c>
      <c r="P27" s="34"/>
      <c r="Q27" s="25"/>
      <c r="R27" s="25"/>
      <c r="S27" s="25"/>
      <c r="T27" s="25"/>
      <c r="U27" s="25"/>
      <c r="V27" s="30"/>
      <c r="W27" s="34"/>
      <c r="X27" s="25" t="s">
        <v>63</v>
      </c>
      <c r="Y27" s="25" t="s">
        <v>64</v>
      </c>
      <c r="Z27" s="30" t="s">
        <v>38</v>
      </c>
      <c r="AA27" s="30">
        <v>5.25</v>
      </c>
      <c r="AB27" s="25"/>
      <c r="AC27" s="26"/>
    </row>
    <row r="28" spans="2:29" x14ac:dyDescent="0.25">
      <c r="B28" s="24" t="s">
        <v>65</v>
      </c>
      <c r="C28" s="25" t="s">
        <v>66</v>
      </c>
      <c r="D28" s="25" t="s">
        <v>61</v>
      </c>
      <c r="E28" s="25" t="s">
        <v>43</v>
      </c>
      <c r="F28" s="25" t="s">
        <v>40</v>
      </c>
      <c r="G28" s="25" t="s">
        <v>62</v>
      </c>
      <c r="H28" s="25">
        <v>1</v>
      </c>
      <c r="I28" s="30">
        <v>24.99</v>
      </c>
      <c r="J28" s="32">
        <v>0.15</v>
      </c>
      <c r="K28" s="30">
        <v>21.24</v>
      </c>
      <c r="L28" s="30">
        <v>2.97</v>
      </c>
      <c r="M28" s="30">
        <f>5.25</f>
        <v>5.25</v>
      </c>
      <c r="N28" s="30">
        <v>29.46</v>
      </c>
      <c r="O28" s="30">
        <v>29.46</v>
      </c>
      <c r="P28" s="34"/>
      <c r="Q28" s="25"/>
      <c r="R28" s="25"/>
      <c r="S28" s="25"/>
      <c r="T28" s="25"/>
      <c r="U28" s="25"/>
      <c r="V28" s="30"/>
      <c r="W28" s="34"/>
      <c r="X28" s="25" t="s">
        <v>63</v>
      </c>
      <c r="Y28" s="25" t="s">
        <v>64</v>
      </c>
      <c r="Z28" s="30" t="s">
        <v>38</v>
      </c>
      <c r="AA28" s="30">
        <v>5.25</v>
      </c>
      <c r="AB28" s="25"/>
      <c r="AC28" s="26"/>
    </row>
    <row r="29" spans="2:29" x14ac:dyDescent="0.25">
      <c r="B29" s="24" t="s">
        <v>67</v>
      </c>
      <c r="C29" s="25" t="s">
        <v>68</v>
      </c>
      <c r="D29" s="25" t="s">
        <v>32</v>
      </c>
      <c r="E29" s="25" t="s">
        <v>55</v>
      </c>
      <c r="F29" s="25" t="s">
        <v>34</v>
      </c>
      <c r="G29" s="25" t="s">
        <v>69</v>
      </c>
      <c r="H29" s="25">
        <v>1</v>
      </c>
      <c r="I29" s="30">
        <v>34.99</v>
      </c>
      <c r="J29" s="32">
        <v>0.15</v>
      </c>
      <c r="K29" s="30">
        <v>29.74</v>
      </c>
      <c r="L29" s="30">
        <v>4.16</v>
      </c>
      <c r="M29" s="30">
        <v>0</v>
      </c>
      <c r="N29" s="30">
        <v>33.9</v>
      </c>
      <c r="O29" s="30">
        <v>33.9</v>
      </c>
      <c r="P29" s="34"/>
      <c r="Q29" s="25"/>
      <c r="R29" s="25"/>
      <c r="S29" s="25"/>
      <c r="T29" s="25"/>
      <c r="U29" s="25"/>
      <c r="V29" s="30"/>
      <c r="W29" s="34"/>
      <c r="X29" s="25"/>
      <c r="Y29" s="25"/>
      <c r="Z29" s="30"/>
      <c r="AA29" s="30"/>
      <c r="AB29" s="25"/>
      <c r="AC29" s="26"/>
    </row>
    <row r="30" spans="2:29" x14ac:dyDescent="0.25">
      <c r="B30" s="24" t="s">
        <v>67</v>
      </c>
      <c r="C30" s="25" t="s">
        <v>68</v>
      </c>
      <c r="D30" s="25" t="s">
        <v>32</v>
      </c>
      <c r="E30" s="25" t="s">
        <v>55</v>
      </c>
      <c r="F30" s="25" t="s">
        <v>39</v>
      </c>
      <c r="G30" s="25" t="s">
        <v>69</v>
      </c>
      <c r="H30" s="25">
        <v>1</v>
      </c>
      <c r="I30" s="30">
        <v>34.99</v>
      </c>
      <c r="J30" s="32">
        <v>0.15</v>
      </c>
      <c r="K30" s="30">
        <v>29.74</v>
      </c>
      <c r="L30" s="30">
        <v>4.16</v>
      </c>
      <c r="M30" s="30">
        <v>0</v>
      </c>
      <c r="N30" s="30">
        <v>33.9</v>
      </c>
      <c r="O30" s="30">
        <v>33.9</v>
      </c>
      <c r="P30" s="34"/>
      <c r="Q30" s="25"/>
      <c r="R30" s="25"/>
      <c r="S30" s="25"/>
      <c r="T30" s="25"/>
      <c r="U30" s="25"/>
      <c r="V30" s="30"/>
      <c r="W30" s="34"/>
      <c r="X30" s="25"/>
      <c r="Y30" s="25"/>
      <c r="Z30" s="30"/>
      <c r="AA30" s="30"/>
      <c r="AB30" s="25"/>
      <c r="AC30" s="26"/>
    </row>
    <row r="31" spans="2:29" x14ac:dyDescent="0.25">
      <c r="B31" s="24" t="s">
        <v>67</v>
      </c>
      <c r="C31" s="25" t="s">
        <v>68</v>
      </c>
      <c r="D31" s="25" t="s">
        <v>32</v>
      </c>
      <c r="E31" s="25" t="s">
        <v>55</v>
      </c>
      <c r="F31" s="25" t="s">
        <v>40</v>
      </c>
      <c r="G31" s="25" t="s">
        <v>69</v>
      </c>
      <c r="H31" s="25">
        <v>1</v>
      </c>
      <c r="I31" s="30">
        <v>34.99</v>
      </c>
      <c r="J31" s="32">
        <v>0.15</v>
      </c>
      <c r="K31" s="30">
        <v>29.74</v>
      </c>
      <c r="L31" s="30">
        <v>4.16</v>
      </c>
      <c r="M31" s="30">
        <v>0</v>
      </c>
      <c r="N31" s="30">
        <v>33.9</v>
      </c>
      <c r="O31" s="30">
        <v>33.9</v>
      </c>
      <c r="P31" s="34"/>
      <c r="Q31" s="25"/>
      <c r="R31" s="25"/>
      <c r="S31" s="25"/>
      <c r="T31" s="25"/>
      <c r="U31" s="25"/>
      <c r="V31" s="30"/>
      <c r="W31" s="34"/>
      <c r="X31" s="25"/>
      <c r="Y31" s="25"/>
      <c r="Z31" s="30"/>
      <c r="AA31" s="30"/>
      <c r="AB31" s="25"/>
      <c r="AC31" s="26"/>
    </row>
    <row r="32" spans="2:29" x14ac:dyDescent="0.25">
      <c r="B32" s="24" t="s">
        <v>67</v>
      </c>
      <c r="C32" s="25" t="s">
        <v>68</v>
      </c>
      <c r="D32" s="25" t="s">
        <v>32</v>
      </c>
      <c r="E32" s="25" t="s">
        <v>70</v>
      </c>
      <c r="F32" s="25" t="s">
        <v>34</v>
      </c>
      <c r="G32" s="25" t="s">
        <v>69</v>
      </c>
      <c r="H32" s="25">
        <v>1</v>
      </c>
      <c r="I32" s="30">
        <v>29.99</v>
      </c>
      <c r="J32" s="32">
        <v>0.15</v>
      </c>
      <c r="K32" s="30">
        <v>25.49</v>
      </c>
      <c r="L32" s="30">
        <v>3.57</v>
      </c>
      <c r="M32" s="30">
        <v>0</v>
      </c>
      <c r="N32" s="30">
        <v>29.06</v>
      </c>
      <c r="O32" s="30">
        <v>29.06</v>
      </c>
      <c r="P32" s="34"/>
      <c r="Q32" s="25"/>
      <c r="R32" s="25"/>
      <c r="S32" s="25"/>
      <c r="T32" s="25"/>
      <c r="U32" s="25"/>
      <c r="V32" s="30"/>
      <c r="W32" s="34"/>
      <c r="X32" s="25"/>
      <c r="Y32" s="25"/>
      <c r="Z32" s="30"/>
      <c r="AA32" s="30"/>
      <c r="AB32" s="25"/>
      <c r="AC32" s="26"/>
    </row>
    <row r="33" spans="2:29" x14ac:dyDescent="0.25">
      <c r="B33" s="24" t="s">
        <v>67</v>
      </c>
      <c r="C33" s="25" t="s">
        <v>68</v>
      </c>
      <c r="D33" s="25" t="s">
        <v>32</v>
      </c>
      <c r="E33" s="25" t="s">
        <v>70</v>
      </c>
      <c r="F33" s="25" t="s">
        <v>39</v>
      </c>
      <c r="G33" s="25" t="s">
        <v>69</v>
      </c>
      <c r="H33" s="25">
        <v>1</v>
      </c>
      <c r="I33" s="30">
        <v>29.99</v>
      </c>
      <c r="J33" s="32">
        <v>0.15</v>
      </c>
      <c r="K33" s="30">
        <v>25.49</v>
      </c>
      <c r="L33" s="30">
        <v>3.57</v>
      </c>
      <c r="M33" s="30">
        <v>0</v>
      </c>
      <c r="N33" s="30">
        <v>29.06</v>
      </c>
      <c r="O33" s="30">
        <v>29.06</v>
      </c>
      <c r="P33" s="34"/>
      <c r="Q33" s="25"/>
      <c r="R33" s="25"/>
      <c r="S33" s="25"/>
      <c r="T33" s="25"/>
      <c r="U33" s="25"/>
      <c r="V33" s="30"/>
      <c r="W33" s="34"/>
      <c r="X33" s="25"/>
      <c r="Y33" s="25"/>
      <c r="Z33" s="30"/>
      <c r="AA33" s="30"/>
      <c r="AB33" s="25"/>
      <c r="AC33" s="26"/>
    </row>
    <row r="34" spans="2:29" x14ac:dyDescent="0.25">
      <c r="B34" s="24" t="s">
        <v>67</v>
      </c>
      <c r="C34" s="25" t="s">
        <v>68</v>
      </c>
      <c r="D34" s="25" t="s">
        <v>32</v>
      </c>
      <c r="E34" s="25" t="s">
        <v>70</v>
      </c>
      <c r="F34" s="25" t="s">
        <v>40</v>
      </c>
      <c r="G34" s="25" t="s">
        <v>69</v>
      </c>
      <c r="H34" s="25">
        <v>1</v>
      </c>
      <c r="I34" s="30">
        <v>29.99</v>
      </c>
      <c r="J34" s="32">
        <v>0.15</v>
      </c>
      <c r="K34" s="30">
        <v>25.49</v>
      </c>
      <c r="L34" s="30">
        <v>3.57</v>
      </c>
      <c r="M34" s="30">
        <v>0</v>
      </c>
      <c r="N34" s="30">
        <v>29.06</v>
      </c>
      <c r="O34" s="30">
        <v>29.06</v>
      </c>
      <c r="P34" s="34"/>
      <c r="Q34" s="25"/>
      <c r="R34" s="25"/>
      <c r="S34" s="25"/>
      <c r="T34" s="25"/>
      <c r="U34" s="25"/>
      <c r="V34" s="30"/>
      <c r="W34" s="34"/>
      <c r="X34" s="25"/>
      <c r="Y34" s="25"/>
      <c r="Z34" s="30"/>
      <c r="AA34" s="30"/>
      <c r="AB34" s="25"/>
      <c r="AC34" s="26"/>
    </row>
    <row r="35" spans="2:29" x14ac:dyDescent="0.25">
      <c r="B35" s="24" t="s">
        <v>71</v>
      </c>
      <c r="C35" s="25" t="s">
        <v>72</v>
      </c>
      <c r="D35" s="25" t="s">
        <v>32</v>
      </c>
      <c r="E35" s="25" t="s">
        <v>43</v>
      </c>
      <c r="F35" s="25" t="s">
        <v>34</v>
      </c>
      <c r="G35" s="25" t="s">
        <v>69</v>
      </c>
      <c r="H35" s="25">
        <v>1</v>
      </c>
      <c r="I35" s="30">
        <v>34.99</v>
      </c>
      <c r="J35" s="32">
        <v>0.15</v>
      </c>
      <c r="K35" s="30">
        <v>29.74</v>
      </c>
      <c r="L35" s="30">
        <v>4.16</v>
      </c>
      <c r="M35" s="30">
        <v>0</v>
      </c>
      <c r="N35" s="30">
        <v>33.9</v>
      </c>
      <c r="O35" s="30">
        <v>33.9</v>
      </c>
      <c r="P35" s="34"/>
      <c r="Q35" s="25"/>
      <c r="R35" s="25"/>
      <c r="S35" s="25"/>
      <c r="T35" s="25"/>
      <c r="U35" s="25"/>
      <c r="V35" s="30"/>
      <c r="W35" s="34"/>
      <c r="X35" s="25"/>
      <c r="Y35" s="25"/>
      <c r="Z35" s="30"/>
      <c r="AA35" s="30"/>
      <c r="AB35" s="25"/>
      <c r="AC35" s="26"/>
    </row>
    <row r="36" spans="2:29" x14ac:dyDescent="0.25">
      <c r="B36" s="24" t="s">
        <v>71</v>
      </c>
      <c r="C36" s="25" t="s">
        <v>72</v>
      </c>
      <c r="D36" s="25" t="s">
        <v>32</v>
      </c>
      <c r="E36" s="25" t="s">
        <v>43</v>
      </c>
      <c r="F36" s="25" t="s">
        <v>39</v>
      </c>
      <c r="G36" s="25" t="s">
        <v>69</v>
      </c>
      <c r="H36" s="25">
        <v>1</v>
      </c>
      <c r="I36" s="30">
        <v>34.99</v>
      </c>
      <c r="J36" s="32">
        <v>0.15</v>
      </c>
      <c r="K36" s="30">
        <v>29.74</v>
      </c>
      <c r="L36" s="30">
        <v>4.16</v>
      </c>
      <c r="M36" s="30">
        <v>0</v>
      </c>
      <c r="N36" s="30">
        <v>33.9</v>
      </c>
      <c r="O36" s="30">
        <v>33.9</v>
      </c>
      <c r="P36" s="34"/>
      <c r="Q36" s="25"/>
      <c r="R36" s="25"/>
      <c r="S36" s="25"/>
      <c r="T36" s="25"/>
      <c r="U36" s="25"/>
      <c r="V36" s="30"/>
      <c r="W36" s="34"/>
      <c r="X36" s="25"/>
      <c r="Y36" s="25"/>
      <c r="Z36" s="30"/>
      <c r="AA36" s="30"/>
      <c r="AB36" s="25"/>
      <c r="AC36" s="26"/>
    </row>
    <row r="37" spans="2:29" x14ac:dyDescent="0.25">
      <c r="B37" s="24" t="s">
        <v>71</v>
      </c>
      <c r="C37" s="25" t="s">
        <v>72</v>
      </c>
      <c r="D37" s="25" t="s">
        <v>32</v>
      </c>
      <c r="E37" s="25" t="s">
        <v>43</v>
      </c>
      <c r="F37" s="25" t="s">
        <v>40</v>
      </c>
      <c r="G37" s="25" t="s">
        <v>69</v>
      </c>
      <c r="H37" s="25">
        <v>1</v>
      </c>
      <c r="I37" s="30">
        <v>34.99</v>
      </c>
      <c r="J37" s="32">
        <v>0.15</v>
      </c>
      <c r="K37" s="30">
        <v>29.74</v>
      </c>
      <c r="L37" s="30">
        <v>4.16</v>
      </c>
      <c r="M37" s="30">
        <v>0</v>
      </c>
      <c r="N37" s="30">
        <v>33.9</v>
      </c>
      <c r="O37" s="30">
        <v>33.9</v>
      </c>
      <c r="P37" s="34"/>
      <c r="Q37" s="25"/>
      <c r="R37" s="25"/>
      <c r="S37" s="25"/>
      <c r="T37" s="25"/>
      <c r="U37" s="25"/>
      <c r="V37" s="30"/>
      <c r="W37" s="34"/>
      <c r="X37" s="25"/>
      <c r="Y37" s="25"/>
      <c r="Z37" s="30"/>
      <c r="AA37" s="30"/>
      <c r="AB37" s="25"/>
      <c r="AC37" s="26"/>
    </row>
    <row r="38" spans="2:29" x14ac:dyDescent="0.25">
      <c r="B38" s="24" t="s">
        <v>73</v>
      </c>
      <c r="C38" s="25" t="s">
        <v>74</v>
      </c>
      <c r="D38" s="25" t="s">
        <v>75</v>
      </c>
      <c r="E38" s="25" t="s">
        <v>76</v>
      </c>
      <c r="F38" s="25" t="s">
        <v>34</v>
      </c>
      <c r="G38" s="25" t="s">
        <v>77</v>
      </c>
      <c r="H38" s="25">
        <v>1</v>
      </c>
      <c r="I38" s="30">
        <v>15.99</v>
      </c>
      <c r="J38" s="32">
        <v>0.15</v>
      </c>
      <c r="K38" s="30">
        <v>13.59</v>
      </c>
      <c r="L38" s="30">
        <v>1.9</v>
      </c>
      <c r="M38" s="30">
        <v>0</v>
      </c>
      <c r="N38" s="30">
        <v>15.49</v>
      </c>
      <c r="O38" s="30">
        <v>15.49</v>
      </c>
      <c r="P38" s="34"/>
      <c r="Q38" s="25"/>
      <c r="R38" s="25"/>
      <c r="S38" s="25"/>
      <c r="T38" s="25"/>
      <c r="U38" s="25"/>
      <c r="V38" s="30"/>
      <c r="W38" s="34"/>
      <c r="X38" s="25"/>
      <c r="Y38" s="25"/>
      <c r="Z38" s="30"/>
      <c r="AA38" s="30"/>
      <c r="AB38" s="25"/>
      <c r="AC38" s="26"/>
    </row>
    <row r="39" spans="2:29" x14ac:dyDescent="0.25">
      <c r="B39" s="24" t="s">
        <v>73</v>
      </c>
      <c r="C39" s="25" t="s">
        <v>74</v>
      </c>
      <c r="D39" s="25" t="s">
        <v>75</v>
      </c>
      <c r="E39" s="25" t="s">
        <v>76</v>
      </c>
      <c r="F39" s="25" t="s">
        <v>39</v>
      </c>
      <c r="G39" s="25" t="s">
        <v>77</v>
      </c>
      <c r="H39" s="25">
        <v>1</v>
      </c>
      <c r="I39" s="30">
        <v>15.99</v>
      </c>
      <c r="J39" s="32">
        <v>0.15</v>
      </c>
      <c r="K39" s="30">
        <v>13.59</v>
      </c>
      <c r="L39" s="30">
        <v>1.9</v>
      </c>
      <c r="M39" s="30">
        <v>0</v>
      </c>
      <c r="N39" s="30">
        <v>15.49</v>
      </c>
      <c r="O39" s="30">
        <v>15.49</v>
      </c>
      <c r="P39" s="34"/>
      <c r="Q39" s="25"/>
      <c r="R39" s="25"/>
      <c r="S39" s="25"/>
      <c r="T39" s="25"/>
      <c r="U39" s="25"/>
      <c r="V39" s="30"/>
      <c r="W39" s="34"/>
      <c r="X39" s="25"/>
      <c r="Y39" s="25"/>
      <c r="Z39" s="30"/>
      <c r="AA39" s="30"/>
      <c r="AB39" s="25"/>
      <c r="AC39" s="26"/>
    </row>
    <row r="40" spans="2:29" x14ac:dyDescent="0.25">
      <c r="B40" s="24" t="s">
        <v>73</v>
      </c>
      <c r="C40" s="25" t="s">
        <v>74</v>
      </c>
      <c r="D40" s="25" t="s">
        <v>75</v>
      </c>
      <c r="E40" s="25" t="s">
        <v>76</v>
      </c>
      <c r="F40" s="25" t="s">
        <v>40</v>
      </c>
      <c r="G40" s="25" t="s">
        <v>77</v>
      </c>
      <c r="H40" s="25">
        <v>1</v>
      </c>
      <c r="I40" s="30">
        <v>15.99</v>
      </c>
      <c r="J40" s="32">
        <v>0.15</v>
      </c>
      <c r="K40" s="30">
        <v>13.59</v>
      </c>
      <c r="L40" s="30">
        <v>1.9</v>
      </c>
      <c r="M40" s="30">
        <v>0</v>
      </c>
      <c r="N40" s="30">
        <v>15.49</v>
      </c>
      <c r="O40" s="30">
        <v>15.49</v>
      </c>
      <c r="P40" s="34"/>
      <c r="Q40" s="25"/>
      <c r="R40" s="25"/>
      <c r="S40" s="25"/>
      <c r="T40" s="25"/>
      <c r="U40" s="25"/>
      <c r="V40" s="30"/>
      <c r="W40" s="34"/>
      <c r="X40" s="25"/>
      <c r="Y40" s="25"/>
      <c r="Z40" s="30"/>
      <c r="AA40" s="30"/>
      <c r="AB40" s="25"/>
      <c r="AC40" s="26"/>
    </row>
    <row r="41" spans="2:29" x14ac:dyDescent="0.25">
      <c r="B41" s="24" t="s">
        <v>78</v>
      </c>
      <c r="C41" s="25" t="s">
        <v>79</v>
      </c>
      <c r="D41" s="25" t="s">
        <v>75</v>
      </c>
      <c r="E41" s="25" t="s">
        <v>80</v>
      </c>
      <c r="F41" s="25" t="s">
        <v>34</v>
      </c>
      <c r="G41" s="25" t="s">
        <v>69</v>
      </c>
      <c r="H41" s="25">
        <v>1</v>
      </c>
      <c r="I41" s="30">
        <v>64.989999999999995</v>
      </c>
      <c r="J41" s="32">
        <v>0.15</v>
      </c>
      <c r="K41" s="30">
        <v>55.24</v>
      </c>
      <c r="L41" s="30">
        <v>7.73</v>
      </c>
      <c r="M41" s="30">
        <f>7.25+9.25</f>
        <v>16.5</v>
      </c>
      <c r="N41" s="30">
        <v>79.47</v>
      </c>
      <c r="O41" s="30">
        <v>79.47</v>
      </c>
      <c r="P41" s="34"/>
      <c r="Q41" s="25" t="s">
        <v>81</v>
      </c>
      <c r="R41" s="25" t="s">
        <v>82</v>
      </c>
      <c r="S41" s="25" t="s">
        <v>46</v>
      </c>
      <c r="T41" s="25" t="s">
        <v>83</v>
      </c>
      <c r="U41" s="25" t="s">
        <v>84</v>
      </c>
      <c r="V41" s="30">
        <v>7.25</v>
      </c>
      <c r="W41" s="34"/>
      <c r="X41" s="25" t="s">
        <v>85</v>
      </c>
      <c r="Y41" s="25" t="s">
        <v>86</v>
      </c>
      <c r="Z41" s="30" t="s">
        <v>87</v>
      </c>
      <c r="AA41" s="30">
        <v>9.25</v>
      </c>
      <c r="AB41" s="25"/>
      <c r="AC41" s="26"/>
    </row>
    <row r="42" spans="2:29" x14ac:dyDescent="0.25">
      <c r="B42" s="24" t="s">
        <v>78</v>
      </c>
      <c r="C42" s="25" t="s">
        <v>79</v>
      </c>
      <c r="D42" s="25" t="s">
        <v>75</v>
      </c>
      <c r="E42" s="25" t="s">
        <v>80</v>
      </c>
      <c r="F42" s="25" t="s">
        <v>39</v>
      </c>
      <c r="G42" s="25" t="s">
        <v>69</v>
      </c>
      <c r="H42" s="25">
        <v>1</v>
      </c>
      <c r="I42" s="30">
        <v>64.989999999999995</v>
      </c>
      <c r="J42" s="32">
        <v>0.15</v>
      </c>
      <c r="K42" s="30">
        <v>55.24</v>
      </c>
      <c r="L42" s="30">
        <v>7.73</v>
      </c>
      <c r="M42" s="30">
        <f>7.25+9.25</f>
        <v>16.5</v>
      </c>
      <c r="N42" s="30">
        <v>79.47</v>
      </c>
      <c r="O42" s="30">
        <v>79.47</v>
      </c>
      <c r="P42" s="34"/>
      <c r="Q42" s="25" t="s">
        <v>81</v>
      </c>
      <c r="R42" s="25" t="s">
        <v>82</v>
      </c>
      <c r="S42" s="25" t="s">
        <v>46</v>
      </c>
      <c r="T42" s="25" t="s">
        <v>83</v>
      </c>
      <c r="U42" s="25" t="s">
        <v>84</v>
      </c>
      <c r="V42" s="30">
        <v>7.25</v>
      </c>
      <c r="W42" s="34"/>
      <c r="X42" s="25" t="s">
        <v>85</v>
      </c>
      <c r="Y42" s="25" t="s">
        <v>86</v>
      </c>
      <c r="Z42" s="30" t="s">
        <v>87</v>
      </c>
      <c r="AA42" s="30">
        <v>9.25</v>
      </c>
      <c r="AB42" s="25"/>
      <c r="AC42" s="26"/>
    </row>
    <row r="43" spans="2:29" x14ac:dyDescent="0.25">
      <c r="B43" s="24" t="s">
        <v>78</v>
      </c>
      <c r="C43" s="25" t="s">
        <v>79</v>
      </c>
      <c r="D43" s="25" t="s">
        <v>75</v>
      </c>
      <c r="E43" s="25" t="s">
        <v>80</v>
      </c>
      <c r="F43" s="25" t="s">
        <v>40</v>
      </c>
      <c r="G43" s="25" t="s">
        <v>69</v>
      </c>
      <c r="H43" s="25">
        <v>1</v>
      </c>
      <c r="I43" s="30">
        <v>64.989999999999995</v>
      </c>
      <c r="J43" s="32">
        <v>0.15</v>
      </c>
      <c r="K43" s="30">
        <v>55.24</v>
      </c>
      <c r="L43" s="30">
        <v>7.73</v>
      </c>
      <c r="M43" s="30">
        <f>7.25+9.25</f>
        <v>16.5</v>
      </c>
      <c r="N43" s="30">
        <v>79.47</v>
      </c>
      <c r="O43" s="30">
        <v>79.47</v>
      </c>
      <c r="P43" s="34"/>
      <c r="Q43" s="25" t="s">
        <v>81</v>
      </c>
      <c r="R43" s="25" t="s">
        <v>82</v>
      </c>
      <c r="S43" s="25" t="s">
        <v>46</v>
      </c>
      <c r="T43" s="25" t="s">
        <v>83</v>
      </c>
      <c r="U43" s="25" t="s">
        <v>84</v>
      </c>
      <c r="V43" s="30">
        <v>7.25</v>
      </c>
      <c r="W43" s="34"/>
      <c r="X43" s="25" t="s">
        <v>85</v>
      </c>
      <c r="Y43" s="25" t="s">
        <v>86</v>
      </c>
      <c r="Z43" s="30" t="s">
        <v>87</v>
      </c>
      <c r="AA43" s="30">
        <v>9.25</v>
      </c>
      <c r="AB43" s="25"/>
      <c r="AC43" s="26"/>
    </row>
    <row r="44" spans="2:29" x14ac:dyDescent="0.25">
      <c r="B44" s="24" t="s">
        <v>88</v>
      </c>
      <c r="C44" s="25" t="s">
        <v>89</v>
      </c>
      <c r="D44" s="25" t="s">
        <v>90</v>
      </c>
      <c r="E44" s="25" t="s">
        <v>55</v>
      </c>
      <c r="F44" s="25" t="s">
        <v>34</v>
      </c>
      <c r="G44" s="25" t="s">
        <v>35</v>
      </c>
      <c r="H44" s="25">
        <v>1</v>
      </c>
      <c r="I44" s="30">
        <v>44.99</v>
      </c>
      <c r="J44" s="32">
        <v>0.15</v>
      </c>
      <c r="K44" s="30">
        <v>38.24</v>
      </c>
      <c r="L44" s="30">
        <v>5.35</v>
      </c>
      <c r="M44" s="30">
        <v>0</v>
      </c>
      <c r="N44" s="30">
        <v>43.59</v>
      </c>
      <c r="O44" s="30">
        <v>43.59</v>
      </c>
      <c r="P44" s="34"/>
      <c r="Q44" s="25"/>
      <c r="R44" s="25"/>
      <c r="S44" s="25"/>
      <c r="T44" s="25"/>
      <c r="U44" s="25"/>
      <c r="V44" s="30"/>
      <c r="W44" s="34"/>
      <c r="X44" s="25"/>
      <c r="Y44" s="25"/>
      <c r="Z44" s="30"/>
      <c r="AA44" s="30"/>
      <c r="AB44" s="25"/>
      <c r="AC44" s="26"/>
    </row>
    <row r="45" spans="2:29" x14ac:dyDescent="0.25">
      <c r="B45" s="24" t="s">
        <v>88</v>
      </c>
      <c r="C45" s="25" t="s">
        <v>89</v>
      </c>
      <c r="D45" s="25" t="s">
        <v>90</v>
      </c>
      <c r="E45" s="25" t="s">
        <v>55</v>
      </c>
      <c r="F45" s="25" t="s">
        <v>39</v>
      </c>
      <c r="G45" s="25" t="s">
        <v>35</v>
      </c>
      <c r="H45" s="25">
        <v>1</v>
      </c>
      <c r="I45" s="30">
        <v>44.99</v>
      </c>
      <c r="J45" s="32">
        <v>0.15</v>
      </c>
      <c r="K45" s="30">
        <v>38.24</v>
      </c>
      <c r="L45" s="30">
        <v>5.35</v>
      </c>
      <c r="M45" s="30">
        <v>0</v>
      </c>
      <c r="N45" s="30">
        <v>43.59</v>
      </c>
      <c r="O45" s="30">
        <v>43.59</v>
      </c>
      <c r="P45" s="34"/>
      <c r="Q45" s="25"/>
      <c r="R45" s="25"/>
      <c r="S45" s="25"/>
      <c r="T45" s="25"/>
      <c r="U45" s="25"/>
      <c r="V45" s="30"/>
      <c r="W45" s="34"/>
      <c r="X45" s="25"/>
      <c r="Y45" s="25"/>
      <c r="Z45" s="30"/>
      <c r="AA45" s="30"/>
      <c r="AB45" s="25"/>
      <c r="AC45" s="26"/>
    </row>
    <row r="46" spans="2:29" x14ac:dyDescent="0.25">
      <c r="B46" s="24" t="s">
        <v>88</v>
      </c>
      <c r="C46" s="25" t="s">
        <v>89</v>
      </c>
      <c r="D46" s="25" t="s">
        <v>90</v>
      </c>
      <c r="E46" s="25" t="s">
        <v>55</v>
      </c>
      <c r="F46" s="25" t="s">
        <v>40</v>
      </c>
      <c r="G46" s="25" t="s">
        <v>35</v>
      </c>
      <c r="H46" s="25">
        <v>1</v>
      </c>
      <c r="I46" s="30">
        <v>44.99</v>
      </c>
      <c r="J46" s="32">
        <v>0.15</v>
      </c>
      <c r="K46" s="30">
        <v>38.24</v>
      </c>
      <c r="L46" s="30">
        <v>5.35</v>
      </c>
      <c r="M46" s="30">
        <v>0</v>
      </c>
      <c r="N46" s="30">
        <v>43.59</v>
      </c>
      <c r="O46" s="30">
        <v>43.59</v>
      </c>
      <c r="P46" s="34"/>
      <c r="Q46" s="25"/>
      <c r="R46" s="25"/>
      <c r="S46" s="25"/>
      <c r="T46" s="25"/>
      <c r="U46" s="25"/>
      <c r="V46" s="30"/>
      <c r="W46" s="34"/>
      <c r="X46" s="25"/>
      <c r="Y46" s="25"/>
      <c r="Z46" s="30"/>
      <c r="AA46" s="30"/>
      <c r="AB46" s="25"/>
      <c r="AC46" s="26"/>
    </row>
    <row r="47" spans="2:29" x14ac:dyDescent="0.25">
      <c r="B47" s="24" t="s">
        <v>88</v>
      </c>
      <c r="C47" s="25" t="s">
        <v>89</v>
      </c>
      <c r="D47" s="25" t="s">
        <v>90</v>
      </c>
      <c r="E47" s="25" t="s">
        <v>58</v>
      </c>
      <c r="F47" s="25" t="s">
        <v>34</v>
      </c>
      <c r="G47" s="25" t="s">
        <v>35</v>
      </c>
      <c r="H47" s="25">
        <v>1</v>
      </c>
      <c r="I47" s="30">
        <v>39.99</v>
      </c>
      <c r="J47" s="32">
        <v>0.15</v>
      </c>
      <c r="K47" s="30">
        <v>33.99</v>
      </c>
      <c r="L47" s="30">
        <v>4.76</v>
      </c>
      <c r="M47" s="30">
        <v>0</v>
      </c>
      <c r="N47" s="30">
        <v>38.75</v>
      </c>
      <c r="O47" s="30">
        <v>38.75</v>
      </c>
      <c r="P47" s="34"/>
      <c r="Q47" s="25"/>
      <c r="R47" s="25"/>
      <c r="S47" s="25"/>
      <c r="T47" s="25"/>
      <c r="U47" s="25"/>
      <c r="V47" s="30"/>
      <c r="W47" s="34"/>
      <c r="X47" s="25"/>
      <c r="Y47" s="25"/>
      <c r="Z47" s="30"/>
      <c r="AA47" s="30"/>
      <c r="AB47" s="25"/>
      <c r="AC47" s="26"/>
    </row>
    <row r="48" spans="2:29" x14ac:dyDescent="0.25">
      <c r="B48" s="24" t="s">
        <v>88</v>
      </c>
      <c r="C48" s="25" t="s">
        <v>89</v>
      </c>
      <c r="D48" s="25" t="s">
        <v>90</v>
      </c>
      <c r="E48" s="25" t="s">
        <v>58</v>
      </c>
      <c r="F48" s="25" t="s">
        <v>39</v>
      </c>
      <c r="G48" s="25" t="s">
        <v>35</v>
      </c>
      <c r="H48" s="25">
        <v>1</v>
      </c>
      <c r="I48" s="30">
        <v>39.99</v>
      </c>
      <c r="J48" s="32">
        <v>0.15</v>
      </c>
      <c r="K48" s="30">
        <v>33.99</v>
      </c>
      <c r="L48" s="30">
        <v>4.76</v>
      </c>
      <c r="M48" s="30">
        <v>0</v>
      </c>
      <c r="N48" s="30">
        <v>38.75</v>
      </c>
      <c r="O48" s="30">
        <v>38.75</v>
      </c>
      <c r="P48" s="34"/>
      <c r="Q48" s="25"/>
      <c r="R48" s="25"/>
      <c r="S48" s="25"/>
      <c r="T48" s="25"/>
      <c r="U48" s="25"/>
      <c r="V48" s="30"/>
      <c r="W48" s="34"/>
      <c r="X48" s="25"/>
      <c r="Y48" s="25"/>
      <c r="Z48" s="30"/>
      <c r="AA48" s="30"/>
      <c r="AB48" s="25"/>
      <c r="AC48" s="26"/>
    </row>
    <row r="49" spans="2:29" x14ac:dyDescent="0.25">
      <c r="B49" s="24" t="s">
        <v>88</v>
      </c>
      <c r="C49" s="25" t="s">
        <v>89</v>
      </c>
      <c r="D49" s="25" t="s">
        <v>90</v>
      </c>
      <c r="E49" s="25" t="s">
        <v>58</v>
      </c>
      <c r="F49" s="25" t="s">
        <v>40</v>
      </c>
      <c r="G49" s="25" t="s">
        <v>35</v>
      </c>
      <c r="H49" s="25">
        <v>1</v>
      </c>
      <c r="I49" s="30">
        <v>39.99</v>
      </c>
      <c r="J49" s="32">
        <v>0.15</v>
      </c>
      <c r="K49" s="30">
        <v>33.99</v>
      </c>
      <c r="L49" s="30">
        <v>4.76</v>
      </c>
      <c r="M49" s="30">
        <v>0</v>
      </c>
      <c r="N49" s="30">
        <v>38.75</v>
      </c>
      <c r="O49" s="30">
        <v>38.75</v>
      </c>
      <c r="P49" s="34"/>
      <c r="Q49" s="25"/>
      <c r="R49" s="25"/>
      <c r="S49" s="25"/>
      <c r="T49" s="25"/>
      <c r="U49" s="25"/>
      <c r="V49" s="30"/>
      <c r="W49" s="34"/>
      <c r="X49" s="25"/>
      <c r="Y49" s="25"/>
      <c r="Z49" s="30"/>
      <c r="AA49" s="30"/>
      <c r="AB49" s="25"/>
      <c r="AC49" s="26"/>
    </row>
    <row r="50" spans="2:29" x14ac:dyDescent="0.25">
      <c r="B50" s="24" t="s">
        <v>91</v>
      </c>
      <c r="C50" s="25" t="s">
        <v>92</v>
      </c>
      <c r="D50" s="25" t="s">
        <v>90</v>
      </c>
      <c r="E50" s="25" t="s">
        <v>43</v>
      </c>
      <c r="F50" s="25" t="s">
        <v>34</v>
      </c>
      <c r="G50" s="25" t="s">
        <v>35</v>
      </c>
      <c r="H50" s="25">
        <v>1</v>
      </c>
      <c r="I50" s="30">
        <v>44.99</v>
      </c>
      <c r="J50" s="32">
        <v>0.15</v>
      </c>
      <c r="K50" s="30">
        <v>38.24</v>
      </c>
      <c r="L50" s="30">
        <v>5.35</v>
      </c>
      <c r="M50" s="30">
        <v>0</v>
      </c>
      <c r="N50" s="30">
        <v>43.59</v>
      </c>
      <c r="O50" s="30">
        <v>43.59</v>
      </c>
      <c r="P50" s="34"/>
      <c r="Q50" s="25"/>
      <c r="R50" s="25"/>
      <c r="S50" s="25"/>
      <c r="T50" s="25"/>
      <c r="U50" s="25"/>
      <c r="V50" s="30"/>
      <c r="W50" s="34"/>
      <c r="X50" s="25"/>
      <c r="Y50" s="25"/>
      <c r="Z50" s="30"/>
      <c r="AA50" s="30"/>
      <c r="AB50" s="25"/>
      <c r="AC50" s="26"/>
    </row>
    <row r="51" spans="2:29" x14ac:dyDescent="0.25">
      <c r="B51" s="24" t="s">
        <v>91</v>
      </c>
      <c r="C51" s="25" t="s">
        <v>92</v>
      </c>
      <c r="D51" s="25" t="s">
        <v>90</v>
      </c>
      <c r="E51" s="25" t="s">
        <v>43</v>
      </c>
      <c r="F51" s="25" t="s">
        <v>39</v>
      </c>
      <c r="G51" s="25" t="s">
        <v>35</v>
      </c>
      <c r="H51" s="25">
        <v>1</v>
      </c>
      <c r="I51" s="30">
        <v>44.99</v>
      </c>
      <c r="J51" s="32">
        <v>0.15</v>
      </c>
      <c r="K51" s="30">
        <v>38.24</v>
      </c>
      <c r="L51" s="30">
        <v>5.35</v>
      </c>
      <c r="M51" s="30">
        <v>0</v>
      </c>
      <c r="N51" s="30">
        <v>43.59</v>
      </c>
      <c r="O51" s="30">
        <v>43.59</v>
      </c>
      <c r="P51" s="34"/>
      <c r="Q51" s="25"/>
      <c r="R51" s="25"/>
      <c r="S51" s="25"/>
      <c r="T51" s="25"/>
      <c r="U51" s="25"/>
      <c r="V51" s="30"/>
      <c r="W51" s="34"/>
      <c r="X51" s="25"/>
      <c r="Y51" s="25"/>
      <c r="Z51" s="30"/>
      <c r="AA51" s="30"/>
      <c r="AB51" s="25"/>
      <c r="AC51" s="26"/>
    </row>
    <row r="52" spans="2:29" x14ac:dyDescent="0.25">
      <c r="B52" s="24" t="s">
        <v>91</v>
      </c>
      <c r="C52" s="25" t="s">
        <v>92</v>
      </c>
      <c r="D52" s="25" t="s">
        <v>90</v>
      </c>
      <c r="E52" s="25" t="s">
        <v>43</v>
      </c>
      <c r="F52" s="25" t="s">
        <v>40</v>
      </c>
      <c r="G52" s="25" t="s">
        <v>35</v>
      </c>
      <c r="H52" s="25">
        <v>1</v>
      </c>
      <c r="I52" s="30">
        <v>44.99</v>
      </c>
      <c r="J52" s="32">
        <v>0.15</v>
      </c>
      <c r="K52" s="30">
        <v>38.24</v>
      </c>
      <c r="L52" s="30">
        <v>5.35</v>
      </c>
      <c r="M52" s="30">
        <v>0</v>
      </c>
      <c r="N52" s="30">
        <v>43.59</v>
      </c>
      <c r="O52" s="30">
        <v>43.59</v>
      </c>
      <c r="P52" s="34"/>
      <c r="Q52" s="25"/>
      <c r="R52" s="25"/>
      <c r="S52" s="25"/>
      <c r="T52" s="25"/>
      <c r="U52" s="25"/>
      <c r="V52" s="30"/>
      <c r="W52" s="34"/>
      <c r="X52" s="25"/>
      <c r="Y52" s="25"/>
      <c r="Z52" s="30"/>
      <c r="AA52" s="30"/>
      <c r="AB52" s="25"/>
      <c r="AC52" s="26"/>
    </row>
    <row r="53" spans="2:29" x14ac:dyDescent="0.25">
      <c r="B53" s="24" t="s">
        <v>93</v>
      </c>
      <c r="C53" s="25" t="s">
        <v>94</v>
      </c>
      <c r="D53" s="25" t="s">
        <v>61</v>
      </c>
      <c r="E53" s="25" t="s">
        <v>76</v>
      </c>
      <c r="F53" s="25" t="s">
        <v>34</v>
      </c>
      <c r="G53" s="25" t="s">
        <v>95</v>
      </c>
      <c r="H53" s="25">
        <v>1</v>
      </c>
      <c r="I53" s="30">
        <v>11.99</v>
      </c>
      <c r="J53" s="32">
        <v>0.15</v>
      </c>
      <c r="K53" s="30">
        <v>10.19</v>
      </c>
      <c r="L53" s="30">
        <v>1.43</v>
      </c>
      <c r="M53" s="30">
        <v>0</v>
      </c>
      <c r="N53" s="30">
        <v>11.62</v>
      </c>
      <c r="O53" s="30">
        <v>11.62</v>
      </c>
      <c r="P53" s="34"/>
      <c r="Q53" s="25"/>
      <c r="R53" s="25"/>
      <c r="S53" s="25"/>
      <c r="T53" s="25"/>
      <c r="U53" s="25"/>
      <c r="V53" s="30"/>
      <c r="W53" s="34"/>
      <c r="X53" s="25"/>
      <c r="Y53" s="25"/>
      <c r="Z53" s="30"/>
      <c r="AA53" s="30"/>
      <c r="AB53" s="25"/>
      <c r="AC53" s="26"/>
    </row>
    <row r="54" spans="2:29" x14ac:dyDescent="0.25">
      <c r="B54" s="24" t="s">
        <v>93</v>
      </c>
      <c r="C54" s="25" t="s">
        <v>94</v>
      </c>
      <c r="D54" s="25" t="s">
        <v>61</v>
      </c>
      <c r="E54" s="25" t="s">
        <v>76</v>
      </c>
      <c r="F54" s="25" t="s">
        <v>39</v>
      </c>
      <c r="G54" s="25" t="s">
        <v>95</v>
      </c>
      <c r="H54" s="25">
        <v>1</v>
      </c>
      <c r="I54" s="30">
        <v>11.99</v>
      </c>
      <c r="J54" s="32">
        <v>0.15</v>
      </c>
      <c r="K54" s="30">
        <v>10.19</v>
      </c>
      <c r="L54" s="30">
        <v>1.43</v>
      </c>
      <c r="M54" s="30">
        <v>0</v>
      </c>
      <c r="N54" s="30">
        <v>11.62</v>
      </c>
      <c r="O54" s="30">
        <v>11.62</v>
      </c>
      <c r="P54" s="34"/>
      <c r="Q54" s="25"/>
      <c r="R54" s="25"/>
      <c r="S54" s="25"/>
      <c r="T54" s="25"/>
      <c r="U54" s="25"/>
      <c r="V54" s="30"/>
      <c r="W54" s="34"/>
      <c r="X54" s="25"/>
      <c r="Y54" s="25"/>
      <c r="Z54" s="30"/>
      <c r="AA54" s="30"/>
      <c r="AB54" s="25"/>
      <c r="AC54" s="26"/>
    </row>
    <row r="55" spans="2:29" x14ac:dyDescent="0.25">
      <c r="B55" s="24" t="s">
        <v>93</v>
      </c>
      <c r="C55" s="25" t="s">
        <v>94</v>
      </c>
      <c r="D55" s="25" t="s">
        <v>61</v>
      </c>
      <c r="E55" s="25" t="s">
        <v>76</v>
      </c>
      <c r="F55" s="25" t="s">
        <v>40</v>
      </c>
      <c r="G55" s="25" t="s">
        <v>95</v>
      </c>
      <c r="H55" s="25">
        <v>1</v>
      </c>
      <c r="I55" s="30">
        <v>11.99</v>
      </c>
      <c r="J55" s="32">
        <v>0.15</v>
      </c>
      <c r="K55" s="30">
        <v>10.19</v>
      </c>
      <c r="L55" s="30">
        <v>1.43</v>
      </c>
      <c r="M55" s="30">
        <v>0</v>
      </c>
      <c r="N55" s="30">
        <v>11.62</v>
      </c>
      <c r="O55" s="30">
        <v>11.62</v>
      </c>
      <c r="P55" s="34"/>
      <c r="Q55" s="25"/>
      <c r="R55" s="25"/>
      <c r="S55" s="25"/>
      <c r="T55" s="25"/>
      <c r="U55" s="25"/>
      <c r="V55" s="30"/>
      <c r="W55" s="34"/>
      <c r="X55" s="25"/>
      <c r="Y55" s="25"/>
      <c r="Z55" s="30"/>
      <c r="AA55" s="30"/>
      <c r="AB55" s="25"/>
      <c r="AC55" s="26"/>
    </row>
    <row r="56" spans="2:29" x14ac:dyDescent="0.25">
      <c r="B56" s="24" t="s">
        <v>96</v>
      </c>
      <c r="C56" s="25" t="s">
        <v>97</v>
      </c>
      <c r="D56" s="25" t="s">
        <v>98</v>
      </c>
      <c r="E56" s="25" t="s">
        <v>99</v>
      </c>
      <c r="F56" s="25" t="s">
        <v>34</v>
      </c>
      <c r="G56" s="25" t="s">
        <v>100</v>
      </c>
      <c r="H56" s="25">
        <v>1</v>
      </c>
      <c r="I56" s="30">
        <v>44.99</v>
      </c>
      <c r="J56" s="32">
        <v>0.15</v>
      </c>
      <c r="K56" s="30">
        <v>38.24</v>
      </c>
      <c r="L56" s="30">
        <v>5.35</v>
      </c>
      <c r="M56" s="30">
        <v>0</v>
      </c>
      <c r="N56" s="30">
        <v>43.59</v>
      </c>
      <c r="O56" s="30">
        <v>43.59</v>
      </c>
      <c r="P56" s="34"/>
      <c r="Q56" s="25"/>
      <c r="R56" s="25"/>
      <c r="S56" s="25"/>
      <c r="T56" s="25"/>
      <c r="U56" s="25"/>
      <c r="V56" s="30"/>
      <c r="W56" s="34"/>
      <c r="X56" s="25"/>
      <c r="Y56" s="25"/>
      <c r="Z56" s="30"/>
      <c r="AA56" s="30"/>
      <c r="AB56" s="25"/>
      <c r="AC56" s="26"/>
    </row>
    <row r="57" spans="2:29" x14ac:dyDescent="0.25">
      <c r="B57" s="24" t="s">
        <v>96</v>
      </c>
      <c r="C57" s="25" t="s">
        <v>97</v>
      </c>
      <c r="D57" s="25" t="s">
        <v>98</v>
      </c>
      <c r="E57" s="25" t="s">
        <v>99</v>
      </c>
      <c r="F57" s="25" t="s">
        <v>39</v>
      </c>
      <c r="G57" s="25" t="s">
        <v>100</v>
      </c>
      <c r="H57" s="25">
        <v>1</v>
      </c>
      <c r="I57" s="30">
        <v>44.99</v>
      </c>
      <c r="J57" s="32">
        <v>0.15</v>
      </c>
      <c r="K57" s="30">
        <v>38.24</v>
      </c>
      <c r="L57" s="30">
        <v>5.35</v>
      </c>
      <c r="M57" s="30">
        <v>0</v>
      </c>
      <c r="N57" s="30">
        <v>43.59</v>
      </c>
      <c r="O57" s="30">
        <v>43.59</v>
      </c>
      <c r="P57" s="34"/>
      <c r="Q57" s="25"/>
      <c r="R57" s="25"/>
      <c r="S57" s="25"/>
      <c r="T57" s="25"/>
      <c r="U57" s="25"/>
      <c r="V57" s="30"/>
      <c r="W57" s="34"/>
      <c r="X57" s="25"/>
      <c r="Y57" s="25"/>
      <c r="Z57" s="30"/>
      <c r="AA57" s="30"/>
      <c r="AB57" s="25"/>
      <c r="AC57" s="26"/>
    </row>
    <row r="58" spans="2:29" x14ac:dyDescent="0.25">
      <c r="B58" s="24" t="s">
        <v>96</v>
      </c>
      <c r="C58" s="25" t="s">
        <v>97</v>
      </c>
      <c r="D58" s="25" t="s">
        <v>98</v>
      </c>
      <c r="E58" s="25" t="s">
        <v>99</v>
      </c>
      <c r="F58" s="25" t="s">
        <v>40</v>
      </c>
      <c r="G58" s="25" t="s">
        <v>100</v>
      </c>
      <c r="H58" s="25">
        <v>1</v>
      </c>
      <c r="I58" s="30">
        <v>44.99</v>
      </c>
      <c r="J58" s="32">
        <v>0.15</v>
      </c>
      <c r="K58" s="30">
        <v>38.24</v>
      </c>
      <c r="L58" s="30">
        <v>5.35</v>
      </c>
      <c r="M58" s="30">
        <v>0</v>
      </c>
      <c r="N58" s="30">
        <v>43.59</v>
      </c>
      <c r="O58" s="30">
        <v>43.59</v>
      </c>
      <c r="P58" s="34"/>
      <c r="Q58" s="25"/>
      <c r="R58" s="25"/>
      <c r="S58" s="25"/>
      <c r="T58" s="25"/>
      <c r="U58" s="25"/>
      <c r="V58" s="30"/>
      <c r="W58" s="34"/>
      <c r="X58" s="25"/>
      <c r="Y58" s="25"/>
      <c r="Z58" s="30"/>
      <c r="AA58" s="30"/>
      <c r="AB58" s="25"/>
      <c r="AC58" s="26"/>
    </row>
    <row r="59" spans="2:29" x14ac:dyDescent="0.25">
      <c r="B59" s="24" t="s">
        <v>101</v>
      </c>
      <c r="C59" s="25" t="s">
        <v>102</v>
      </c>
      <c r="D59" s="25" t="s">
        <v>98</v>
      </c>
      <c r="E59" s="25" t="s">
        <v>103</v>
      </c>
      <c r="F59" s="25" t="s">
        <v>34</v>
      </c>
      <c r="G59" s="25" t="s">
        <v>104</v>
      </c>
      <c r="H59" s="25">
        <v>1</v>
      </c>
      <c r="I59" s="30">
        <v>99.99</v>
      </c>
      <c r="J59" s="32">
        <v>0.15</v>
      </c>
      <c r="K59" s="30">
        <v>84.99</v>
      </c>
      <c r="L59" s="30">
        <v>11.9</v>
      </c>
      <c r="M59" s="30">
        <v>0</v>
      </c>
      <c r="N59" s="30">
        <v>96.89</v>
      </c>
      <c r="O59" s="30">
        <v>96.89</v>
      </c>
      <c r="P59" s="34"/>
      <c r="Q59" s="25"/>
      <c r="R59" s="25"/>
      <c r="S59" s="25"/>
      <c r="T59" s="25"/>
      <c r="U59" s="25"/>
      <c r="V59" s="30"/>
      <c r="W59" s="34"/>
      <c r="X59" s="25"/>
      <c r="Y59" s="25"/>
      <c r="Z59" s="30"/>
      <c r="AA59" s="30"/>
      <c r="AB59" s="25"/>
      <c r="AC59" s="26"/>
    </row>
    <row r="60" spans="2:29" x14ac:dyDescent="0.25">
      <c r="B60" s="24" t="s">
        <v>101</v>
      </c>
      <c r="C60" s="25" t="s">
        <v>102</v>
      </c>
      <c r="D60" s="25" t="s">
        <v>98</v>
      </c>
      <c r="E60" s="25" t="s">
        <v>103</v>
      </c>
      <c r="F60" s="25" t="s">
        <v>39</v>
      </c>
      <c r="G60" s="25" t="s">
        <v>104</v>
      </c>
      <c r="H60" s="25">
        <v>1</v>
      </c>
      <c r="I60" s="30">
        <v>99.99</v>
      </c>
      <c r="J60" s="32">
        <v>0.15</v>
      </c>
      <c r="K60" s="30">
        <v>84.99</v>
      </c>
      <c r="L60" s="30">
        <v>11.9</v>
      </c>
      <c r="M60" s="30">
        <v>0</v>
      </c>
      <c r="N60" s="30">
        <v>96.89</v>
      </c>
      <c r="O60" s="30">
        <v>96.89</v>
      </c>
      <c r="P60" s="34"/>
      <c r="Q60" s="25"/>
      <c r="R60" s="25"/>
      <c r="S60" s="25"/>
      <c r="T60" s="25"/>
      <c r="U60" s="25"/>
      <c r="V60" s="30"/>
      <c r="W60" s="34"/>
      <c r="X60" s="25"/>
      <c r="Y60" s="25"/>
      <c r="Z60" s="30"/>
      <c r="AA60" s="30"/>
      <c r="AB60" s="25"/>
      <c r="AC60" s="26"/>
    </row>
    <row r="61" spans="2:29" x14ac:dyDescent="0.25">
      <c r="B61" s="24" t="s">
        <v>101</v>
      </c>
      <c r="C61" s="25" t="s">
        <v>102</v>
      </c>
      <c r="D61" s="25" t="s">
        <v>98</v>
      </c>
      <c r="E61" s="25" t="s">
        <v>103</v>
      </c>
      <c r="F61" s="25" t="s">
        <v>40</v>
      </c>
      <c r="G61" s="25" t="s">
        <v>104</v>
      </c>
      <c r="H61" s="25">
        <v>1</v>
      </c>
      <c r="I61" s="30">
        <v>99.99</v>
      </c>
      <c r="J61" s="32">
        <v>0.15</v>
      </c>
      <c r="K61" s="30">
        <v>84.99</v>
      </c>
      <c r="L61" s="30">
        <v>11.9</v>
      </c>
      <c r="M61" s="30">
        <v>0</v>
      </c>
      <c r="N61" s="30">
        <v>96.89</v>
      </c>
      <c r="O61" s="30">
        <v>96.89</v>
      </c>
      <c r="P61" s="34"/>
      <c r="Q61" s="25"/>
      <c r="R61" s="25"/>
      <c r="S61" s="25"/>
      <c r="T61" s="25"/>
      <c r="U61" s="25"/>
      <c r="V61" s="30"/>
      <c r="W61" s="34"/>
      <c r="X61" s="25"/>
      <c r="Y61" s="25"/>
      <c r="Z61" s="30"/>
      <c r="AA61" s="30"/>
      <c r="AB61" s="25"/>
      <c r="AC61" s="26"/>
    </row>
    <row r="62" spans="2:29" x14ac:dyDescent="0.25">
      <c r="B62" s="24" t="s">
        <v>105</v>
      </c>
      <c r="C62" s="25" t="s">
        <v>106</v>
      </c>
      <c r="D62" s="25" t="s">
        <v>98</v>
      </c>
      <c r="E62" s="25" t="s">
        <v>99</v>
      </c>
      <c r="F62" s="25" t="s">
        <v>34</v>
      </c>
      <c r="G62" s="25" t="s">
        <v>107</v>
      </c>
      <c r="H62" s="25">
        <v>1</v>
      </c>
      <c r="I62" s="30">
        <v>159.99</v>
      </c>
      <c r="J62" s="32">
        <v>0.15</v>
      </c>
      <c r="K62" s="30">
        <v>135.99</v>
      </c>
      <c r="L62" s="30">
        <v>19.04</v>
      </c>
      <c r="M62" s="30">
        <v>0</v>
      </c>
      <c r="N62" s="30">
        <v>155.03</v>
      </c>
      <c r="O62" s="30">
        <v>155.03</v>
      </c>
      <c r="P62" s="34"/>
      <c r="Q62" s="25"/>
      <c r="R62" s="25"/>
      <c r="S62" s="25"/>
      <c r="T62" s="25"/>
      <c r="U62" s="25"/>
      <c r="V62" s="30"/>
      <c r="W62" s="34"/>
      <c r="X62" s="25"/>
      <c r="Y62" s="25"/>
      <c r="Z62" s="30"/>
      <c r="AA62" s="30"/>
      <c r="AB62" s="25"/>
      <c r="AC62" s="26"/>
    </row>
    <row r="63" spans="2:29" x14ac:dyDescent="0.25">
      <c r="B63" s="24" t="s">
        <v>105</v>
      </c>
      <c r="C63" s="25" t="s">
        <v>106</v>
      </c>
      <c r="D63" s="25" t="s">
        <v>98</v>
      </c>
      <c r="E63" s="25" t="s">
        <v>99</v>
      </c>
      <c r="F63" s="25" t="s">
        <v>39</v>
      </c>
      <c r="G63" s="25" t="s">
        <v>107</v>
      </c>
      <c r="H63" s="25">
        <v>1</v>
      </c>
      <c r="I63" s="30">
        <v>159.99</v>
      </c>
      <c r="J63" s="32">
        <v>0.15</v>
      </c>
      <c r="K63" s="30">
        <v>135.99</v>
      </c>
      <c r="L63" s="30">
        <v>19.04</v>
      </c>
      <c r="M63" s="30">
        <v>0</v>
      </c>
      <c r="N63" s="30">
        <v>155.03</v>
      </c>
      <c r="O63" s="30">
        <v>155.03</v>
      </c>
      <c r="P63" s="34"/>
      <c r="Q63" s="25"/>
      <c r="R63" s="25"/>
      <c r="S63" s="25"/>
      <c r="T63" s="25"/>
      <c r="U63" s="25"/>
      <c r="V63" s="30"/>
      <c r="W63" s="34"/>
      <c r="X63" s="25"/>
      <c r="Y63" s="25"/>
      <c r="Z63" s="30"/>
      <c r="AA63" s="30"/>
      <c r="AB63" s="25"/>
      <c r="AC63" s="26"/>
    </row>
    <row r="64" spans="2:29" x14ac:dyDescent="0.25">
      <c r="B64" s="24" t="s">
        <v>105</v>
      </c>
      <c r="C64" s="25" t="s">
        <v>106</v>
      </c>
      <c r="D64" s="25" t="s">
        <v>98</v>
      </c>
      <c r="E64" s="25" t="s">
        <v>99</v>
      </c>
      <c r="F64" s="25" t="s">
        <v>40</v>
      </c>
      <c r="G64" s="25" t="s">
        <v>107</v>
      </c>
      <c r="H64" s="25">
        <v>1</v>
      </c>
      <c r="I64" s="30">
        <v>159.99</v>
      </c>
      <c r="J64" s="32">
        <v>0.15</v>
      </c>
      <c r="K64" s="30">
        <v>135.99</v>
      </c>
      <c r="L64" s="30">
        <v>19.04</v>
      </c>
      <c r="M64" s="30">
        <v>0</v>
      </c>
      <c r="N64" s="30">
        <v>155.03</v>
      </c>
      <c r="O64" s="30">
        <v>155.03</v>
      </c>
      <c r="P64" s="34"/>
      <c r="Q64" s="25"/>
      <c r="R64" s="25"/>
      <c r="S64" s="25"/>
      <c r="T64" s="25"/>
      <c r="U64" s="25"/>
      <c r="V64" s="30"/>
      <c r="W64" s="34"/>
      <c r="X64" s="25"/>
      <c r="Y64" s="25"/>
      <c r="Z64" s="30"/>
      <c r="AA64" s="30"/>
      <c r="AB64" s="25"/>
      <c r="AC64" s="26"/>
    </row>
    <row r="65" spans="2:29" x14ac:dyDescent="0.25">
      <c r="B65" s="24" t="s">
        <v>108</v>
      </c>
      <c r="C65" s="25" t="s">
        <v>109</v>
      </c>
      <c r="D65" s="25" t="s">
        <v>98</v>
      </c>
      <c r="E65" s="25" t="s">
        <v>99</v>
      </c>
      <c r="F65" s="25" t="s">
        <v>34</v>
      </c>
      <c r="G65" s="25" t="s">
        <v>107</v>
      </c>
      <c r="H65" s="25">
        <v>1</v>
      </c>
      <c r="I65" s="30">
        <v>169.99</v>
      </c>
      <c r="J65" s="32">
        <v>0.15</v>
      </c>
      <c r="K65" s="30">
        <v>144.49</v>
      </c>
      <c r="L65" s="30">
        <v>20.23</v>
      </c>
      <c r="M65" s="30">
        <v>0</v>
      </c>
      <c r="N65" s="30">
        <v>164.72</v>
      </c>
      <c r="O65" s="30">
        <v>164.72</v>
      </c>
      <c r="P65" s="34"/>
      <c r="Q65" s="25"/>
      <c r="R65" s="25"/>
      <c r="S65" s="25"/>
      <c r="T65" s="25"/>
      <c r="U65" s="25"/>
      <c r="V65" s="30"/>
      <c r="W65" s="34"/>
      <c r="X65" s="25"/>
      <c r="Y65" s="25"/>
      <c r="Z65" s="30"/>
      <c r="AA65" s="30"/>
      <c r="AB65" s="25"/>
      <c r="AC65" s="26"/>
    </row>
    <row r="66" spans="2:29" x14ac:dyDescent="0.25">
      <c r="B66" s="24" t="s">
        <v>108</v>
      </c>
      <c r="C66" s="25" t="s">
        <v>109</v>
      </c>
      <c r="D66" s="25" t="s">
        <v>98</v>
      </c>
      <c r="E66" s="25" t="s">
        <v>99</v>
      </c>
      <c r="F66" s="25" t="s">
        <v>39</v>
      </c>
      <c r="G66" s="25" t="s">
        <v>107</v>
      </c>
      <c r="H66" s="25">
        <v>1</v>
      </c>
      <c r="I66" s="30">
        <v>169.99</v>
      </c>
      <c r="J66" s="32">
        <v>0.15</v>
      </c>
      <c r="K66" s="30">
        <v>144.49</v>
      </c>
      <c r="L66" s="30">
        <v>20.23</v>
      </c>
      <c r="M66" s="30">
        <v>0</v>
      </c>
      <c r="N66" s="30">
        <v>164.72</v>
      </c>
      <c r="O66" s="30">
        <v>164.72</v>
      </c>
      <c r="P66" s="34"/>
      <c r="Q66" s="25"/>
      <c r="R66" s="25"/>
      <c r="S66" s="25"/>
      <c r="T66" s="25"/>
      <c r="U66" s="25"/>
      <c r="V66" s="30"/>
      <c r="W66" s="34"/>
      <c r="X66" s="25"/>
      <c r="Y66" s="25"/>
      <c r="Z66" s="30"/>
      <c r="AA66" s="30"/>
      <c r="AB66" s="25"/>
      <c r="AC66" s="26"/>
    </row>
    <row r="67" spans="2:29" x14ac:dyDescent="0.25">
      <c r="B67" s="24" t="s">
        <v>108</v>
      </c>
      <c r="C67" s="25" t="s">
        <v>109</v>
      </c>
      <c r="D67" s="25" t="s">
        <v>98</v>
      </c>
      <c r="E67" s="25" t="s">
        <v>99</v>
      </c>
      <c r="F67" s="25" t="s">
        <v>40</v>
      </c>
      <c r="G67" s="25" t="s">
        <v>107</v>
      </c>
      <c r="H67" s="25">
        <v>1</v>
      </c>
      <c r="I67" s="30">
        <v>169.99</v>
      </c>
      <c r="J67" s="32">
        <v>0.15</v>
      </c>
      <c r="K67" s="30">
        <v>144.49</v>
      </c>
      <c r="L67" s="30">
        <v>20.23</v>
      </c>
      <c r="M67" s="30">
        <v>0</v>
      </c>
      <c r="N67" s="30">
        <v>164.72</v>
      </c>
      <c r="O67" s="30">
        <v>164.72</v>
      </c>
      <c r="P67" s="34"/>
      <c r="Q67" s="25"/>
      <c r="R67" s="25"/>
      <c r="S67" s="25"/>
      <c r="T67" s="25"/>
      <c r="U67" s="25"/>
      <c r="V67" s="30"/>
      <c r="W67" s="34"/>
      <c r="X67" s="25"/>
      <c r="Y67" s="25"/>
      <c r="Z67" s="30"/>
      <c r="AA67" s="30"/>
      <c r="AB67" s="25"/>
      <c r="AC67" s="26"/>
    </row>
    <row r="68" spans="2:29" x14ac:dyDescent="0.25">
      <c r="B68" s="24" t="s">
        <v>110</v>
      </c>
      <c r="C68" s="25" t="s">
        <v>111</v>
      </c>
      <c r="D68" s="25" t="s">
        <v>98</v>
      </c>
      <c r="E68" s="25" t="s">
        <v>99</v>
      </c>
      <c r="F68" s="25" t="s">
        <v>34</v>
      </c>
      <c r="G68" s="25" t="s">
        <v>107</v>
      </c>
      <c r="H68" s="25">
        <v>1</v>
      </c>
      <c r="I68" s="30">
        <v>99.99</v>
      </c>
      <c r="J68" s="32">
        <v>0.15</v>
      </c>
      <c r="K68" s="30">
        <v>84.99</v>
      </c>
      <c r="L68" s="30">
        <v>11.9</v>
      </c>
      <c r="M68" s="30">
        <v>0</v>
      </c>
      <c r="N68" s="30">
        <v>96.89</v>
      </c>
      <c r="O68" s="30">
        <v>96.89</v>
      </c>
      <c r="P68" s="34"/>
      <c r="Q68" s="25"/>
      <c r="R68" s="25"/>
      <c r="S68" s="25"/>
      <c r="T68" s="25"/>
      <c r="U68" s="25"/>
      <c r="V68" s="30"/>
      <c r="W68" s="34"/>
      <c r="X68" s="25"/>
      <c r="Y68" s="25"/>
      <c r="Z68" s="30"/>
      <c r="AA68" s="30"/>
      <c r="AB68" s="25"/>
      <c r="AC68" s="26"/>
    </row>
    <row r="69" spans="2:29" x14ac:dyDescent="0.25">
      <c r="B69" s="24" t="s">
        <v>110</v>
      </c>
      <c r="C69" s="25" t="s">
        <v>111</v>
      </c>
      <c r="D69" s="25" t="s">
        <v>98</v>
      </c>
      <c r="E69" s="25" t="s">
        <v>99</v>
      </c>
      <c r="F69" s="25" t="s">
        <v>39</v>
      </c>
      <c r="G69" s="25" t="s">
        <v>107</v>
      </c>
      <c r="H69" s="25">
        <v>1</v>
      </c>
      <c r="I69" s="30">
        <v>99.99</v>
      </c>
      <c r="J69" s="32">
        <v>0.15</v>
      </c>
      <c r="K69" s="30">
        <v>84.99</v>
      </c>
      <c r="L69" s="30">
        <v>11.9</v>
      </c>
      <c r="M69" s="30">
        <v>0</v>
      </c>
      <c r="N69" s="30">
        <v>96.89</v>
      </c>
      <c r="O69" s="30">
        <v>96.89</v>
      </c>
      <c r="P69" s="34"/>
      <c r="Q69" s="25"/>
      <c r="R69" s="25"/>
      <c r="S69" s="25"/>
      <c r="T69" s="25"/>
      <c r="U69" s="25"/>
      <c r="V69" s="30"/>
      <c r="W69" s="34"/>
      <c r="X69" s="25"/>
      <c r="Y69" s="25"/>
      <c r="Z69" s="30"/>
      <c r="AA69" s="30"/>
      <c r="AB69" s="25"/>
      <c r="AC69" s="26"/>
    </row>
    <row r="70" spans="2:29" ht="15.75" thickBot="1" x14ac:dyDescent="0.3">
      <c r="B70" s="27" t="s">
        <v>110</v>
      </c>
      <c r="C70" s="28" t="s">
        <v>111</v>
      </c>
      <c r="D70" s="28" t="s">
        <v>98</v>
      </c>
      <c r="E70" s="28" t="s">
        <v>99</v>
      </c>
      <c r="F70" s="28" t="s">
        <v>40</v>
      </c>
      <c r="G70" s="28" t="s">
        <v>107</v>
      </c>
      <c r="H70" s="28">
        <v>1</v>
      </c>
      <c r="I70" s="31">
        <v>99.99</v>
      </c>
      <c r="J70" s="33">
        <v>0.15</v>
      </c>
      <c r="K70" s="31">
        <v>84.99</v>
      </c>
      <c r="L70" s="31">
        <v>11.9</v>
      </c>
      <c r="M70" s="31">
        <v>0</v>
      </c>
      <c r="N70" s="31">
        <v>96.89</v>
      </c>
      <c r="O70" s="31">
        <v>96.89</v>
      </c>
      <c r="P70" s="35"/>
      <c r="Q70" s="28"/>
      <c r="R70" s="28"/>
      <c r="S70" s="28"/>
      <c r="T70" s="28"/>
      <c r="U70" s="28"/>
      <c r="V70" s="31"/>
      <c r="W70" s="35"/>
      <c r="X70" s="28"/>
      <c r="Y70" s="28"/>
      <c r="Z70" s="31"/>
      <c r="AA70" s="31"/>
      <c r="AB70" s="28"/>
      <c r="AC70" s="29"/>
    </row>
    <row r="71" spans="2:2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2:29" ht="15.75" thickBot="1" x14ac:dyDescent="0.3"/>
    <row r="73" spans="2:29" x14ac:dyDescent="0.25">
      <c r="B73" s="38" t="s">
        <v>112</v>
      </c>
      <c r="C73" s="12"/>
      <c r="D73" s="12"/>
      <c r="E73" s="12"/>
      <c r="F73" s="12"/>
      <c r="G73" s="12"/>
      <c r="H73" s="38"/>
      <c r="I73" s="12"/>
      <c r="J73" s="12"/>
      <c r="K73" s="12"/>
      <c r="L73" s="12"/>
      <c r="M73" s="39"/>
    </row>
    <row r="74" spans="2:29" x14ac:dyDescent="0.25">
      <c r="B74" s="37" t="s">
        <v>113</v>
      </c>
      <c r="C74" s="36"/>
      <c r="D74" s="36"/>
      <c r="E74" s="36"/>
      <c r="F74" s="36"/>
      <c r="G74" s="36"/>
      <c r="H74" s="40" t="s">
        <v>114</v>
      </c>
      <c r="I74" s="41"/>
      <c r="J74" s="41"/>
      <c r="K74" s="41"/>
      <c r="L74" s="41"/>
      <c r="M74" s="42"/>
    </row>
    <row r="75" spans="2:29" x14ac:dyDescent="0.25">
      <c r="B75" s="24" t="s">
        <v>115</v>
      </c>
      <c r="C75" s="25" t="s">
        <v>116</v>
      </c>
      <c r="D75" s="25" t="s">
        <v>117</v>
      </c>
      <c r="E75" s="25" t="s">
        <v>118</v>
      </c>
      <c r="F75" s="25" t="s">
        <v>119</v>
      </c>
      <c r="G75" s="25" t="s">
        <v>120</v>
      </c>
      <c r="H75" s="24" t="s">
        <v>115</v>
      </c>
      <c r="I75" s="25" t="s">
        <v>116</v>
      </c>
      <c r="J75" s="25" t="s">
        <v>117</v>
      </c>
      <c r="K75" s="25" t="s">
        <v>118</v>
      </c>
      <c r="L75" s="25" t="s">
        <v>119</v>
      </c>
      <c r="M75" s="26" t="s">
        <v>120</v>
      </c>
    </row>
    <row r="76" spans="2:29" x14ac:dyDescent="0.25">
      <c r="B76" s="24" t="s">
        <v>121</v>
      </c>
      <c r="C76" s="25">
        <v>0</v>
      </c>
      <c r="D76" s="25">
        <v>0</v>
      </c>
      <c r="E76" s="25">
        <v>0</v>
      </c>
      <c r="F76" s="25">
        <v>0</v>
      </c>
      <c r="G76" s="25"/>
      <c r="H76" s="24" t="s">
        <v>121</v>
      </c>
      <c r="I76" s="25">
        <v>0</v>
      </c>
      <c r="J76" s="25">
        <v>0</v>
      </c>
      <c r="K76" s="25">
        <v>0</v>
      </c>
      <c r="L76" s="25">
        <v>0</v>
      </c>
      <c r="M76" s="26"/>
    </row>
    <row r="77" spans="2:29" x14ac:dyDescent="0.25">
      <c r="B77" s="24" t="s">
        <v>122</v>
      </c>
      <c r="C77" s="25">
        <v>0</v>
      </c>
      <c r="D77" s="25">
        <v>0</v>
      </c>
      <c r="E77" s="25">
        <v>0</v>
      </c>
      <c r="F77" s="25">
        <v>0</v>
      </c>
      <c r="G77" s="25"/>
      <c r="H77" s="24" t="s">
        <v>122</v>
      </c>
      <c r="I77" s="25">
        <v>0</v>
      </c>
      <c r="J77" s="25">
        <v>0</v>
      </c>
      <c r="K77" s="25">
        <v>0</v>
      </c>
      <c r="L77" s="25">
        <v>0</v>
      </c>
      <c r="M77" s="26"/>
    </row>
    <row r="78" spans="2:29" x14ac:dyDescent="0.25">
      <c r="B78" s="24" t="s">
        <v>123</v>
      </c>
      <c r="C78" s="25">
        <v>0</v>
      </c>
      <c r="D78" s="25">
        <v>0</v>
      </c>
      <c r="E78" s="25">
        <v>0</v>
      </c>
      <c r="F78" s="25">
        <v>0</v>
      </c>
      <c r="G78" s="25"/>
      <c r="H78" s="24" t="s">
        <v>123</v>
      </c>
      <c r="I78" s="25">
        <v>0</v>
      </c>
      <c r="J78" s="25">
        <v>0</v>
      </c>
      <c r="K78" s="25">
        <v>0</v>
      </c>
      <c r="L78" s="25">
        <v>0</v>
      </c>
      <c r="M78" s="26"/>
    </row>
    <row r="79" spans="2:29" x14ac:dyDescent="0.25">
      <c r="B79" s="24" t="s">
        <v>124</v>
      </c>
      <c r="C79" s="25">
        <v>0</v>
      </c>
      <c r="D79" s="25">
        <v>0</v>
      </c>
      <c r="E79" s="25">
        <v>0</v>
      </c>
      <c r="F79" s="25">
        <v>0</v>
      </c>
      <c r="G79" s="25"/>
      <c r="H79" s="24" t="s">
        <v>124</v>
      </c>
      <c r="I79" s="25">
        <v>0</v>
      </c>
      <c r="J79" s="25">
        <v>0</v>
      </c>
      <c r="K79" s="25">
        <v>0</v>
      </c>
      <c r="L79" s="25">
        <v>0</v>
      </c>
      <c r="M79" s="26"/>
    </row>
    <row r="80" spans="2:29" x14ac:dyDescent="0.25">
      <c r="B80" s="24" t="s">
        <v>125</v>
      </c>
      <c r="C80" s="25">
        <v>0</v>
      </c>
      <c r="D80" s="25">
        <v>0</v>
      </c>
      <c r="E80" s="25">
        <v>0</v>
      </c>
      <c r="F80" s="25">
        <v>0</v>
      </c>
      <c r="G80" s="25"/>
      <c r="H80" s="24" t="s">
        <v>125</v>
      </c>
      <c r="I80" s="25">
        <v>0</v>
      </c>
      <c r="J80" s="25">
        <v>0</v>
      </c>
      <c r="K80" s="25">
        <v>0</v>
      </c>
      <c r="L80" s="25">
        <v>0</v>
      </c>
      <c r="M80" s="26"/>
    </row>
    <row r="81" spans="2:13" x14ac:dyDescent="0.25">
      <c r="B81" s="24" t="s">
        <v>126</v>
      </c>
      <c r="C81" s="25">
        <v>0</v>
      </c>
      <c r="D81" s="25">
        <v>0</v>
      </c>
      <c r="E81" s="25">
        <v>0</v>
      </c>
      <c r="F81" s="25">
        <v>0</v>
      </c>
      <c r="G81" s="25"/>
      <c r="H81" s="24" t="s">
        <v>126</v>
      </c>
      <c r="I81" s="25">
        <v>0</v>
      </c>
      <c r="J81" s="25">
        <v>0</v>
      </c>
      <c r="K81" s="25">
        <v>0</v>
      </c>
      <c r="L81" s="25">
        <v>0</v>
      </c>
      <c r="M81" s="26"/>
    </row>
    <row r="82" spans="2:13" x14ac:dyDescent="0.25">
      <c r="B82" s="24" t="s">
        <v>127</v>
      </c>
      <c r="C82" s="25">
        <v>0</v>
      </c>
      <c r="D82" s="25">
        <v>0</v>
      </c>
      <c r="E82" s="25">
        <v>0</v>
      </c>
      <c r="F82" s="25">
        <v>0</v>
      </c>
      <c r="G82" s="25"/>
      <c r="H82" s="24" t="s">
        <v>127</v>
      </c>
      <c r="I82" s="25">
        <v>0</v>
      </c>
      <c r="J82" s="25">
        <v>0</v>
      </c>
      <c r="K82" s="25">
        <v>0</v>
      </c>
      <c r="L82" s="25">
        <v>0</v>
      </c>
      <c r="M82" s="26"/>
    </row>
    <row r="83" spans="2:13" x14ac:dyDescent="0.25">
      <c r="B83" s="24" t="s">
        <v>128</v>
      </c>
      <c r="C83" s="25">
        <v>0</v>
      </c>
      <c r="D83" s="25">
        <v>0</v>
      </c>
      <c r="E83" s="25">
        <v>0</v>
      </c>
      <c r="F83" s="25">
        <v>0</v>
      </c>
      <c r="G83" s="25"/>
      <c r="H83" s="24" t="s">
        <v>128</v>
      </c>
      <c r="I83" s="25">
        <v>0</v>
      </c>
      <c r="J83" s="25">
        <v>0</v>
      </c>
      <c r="K83" s="25">
        <v>0</v>
      </c>
      <c r="L83" s="25">
        <v>0</v>
      </c>
      <c r="M83" s="26"/>
    </row>
    <row r="84" spans="2:13" x14ac:dyDescent="0.25">
      <c r="B84" s="24" t="s">
        <v>129</v>
      </c>
      <c r="C84" s="25">
        <v>0</v>
      </c>
      <c r="D84" s="25">
        <v>0</v>
      </c>
      <c r="E84" s="25">
        <v>0</v>
      </c>
      <c r="F84" s="25">
        <v>0</v>
      </c>
      <c r="G84" s="25"/>
      <c r="H84" s="24" t="s">
        <v>129</v>
      </c>
      <c r="I84" s="25">
        <v>0</v>
      </c>
      <c r="J84" s="25">
        <v>0</v>
      </c>
      <c r="K84" s="25">
        <v>0</v>
      </c>
      <c r="L84" s="25">
        <v>0</v>
      </c>
      <c r="M84" s="26"/>
    </row>
    <row r="85" spans="2:13" x14ac:dyDescent="0.25">
      <c r="B85" s="24" t="s">
        <v>130</v>
      </c>
      <c r="C85" s="25">
        <v>0</v>
      </c>
      <c r="D85" s="25">
        <v>0</v>
      </c>
      <c r="E85" s="25">
        <v>0</v>
      </c>
      <c r="F85" s="25">
        <v>0</v>
      </c>
      <c r="G85" s="25"/>
      <c r="H85" s="24" t="s">
        <v>130</v>
      </c>
      <c r="I85" s="25">
        <v>0</v>
      </c>
      <c r="J85" s="25">
        <v>0</v>
      </c>
      <c r="K85" s="25">
        <v>0</v>
      </c>
      <c r="L85" s="25">
        <v>0</v>
      </c>
      <c r="M85" s="26"/>
    </row>
    <row r="86" spans="2:13" x14ac:dyDescent="0.25">
      <c r="B86" s="24" t="s">
        <v>131</v>
      </c>
      <c r="C86" s="25">
        <v>0</v>
      </c>
      <c r="D86" s="25">
        <v>0</v>
      </c>
      <c r="E86" s="25">
        <v>0</v>
      </c>
      <c r="F86" s="25">
        <v>0</v>
      </c>
      <c r="G86" s="25"/>
      <c r="H86" s="24" t="s">
        <v>131</v>
      </c>
      <c r="I86" s="25">
        <v>0</v>
      </c>
      <c r="J86" s="25">
        <v>0</v>
      </c>
      <c r="K86" s="25">
        <v>0</v>
      </c>
      <c r="L86" s="25">
        <v>0</v>
      </c>
      <c r="M86" s="26"/>
    </row>
    <row r="87" spans="2:13" x14ac:dyDescent="0.25">
      <c r="B87" s="24" t="s">
        <v>132</v>
      </c>
      <c r="C87" s="25">
        <v>0</v>
      </c>
      <c r="D87" s="25">
        <v>0</v>
      </c>
      <c r="E87" s="25">
        <v>0</v>
      </c>
      <c r="F87" s="25">
        <v>0</v>
      </c>
      <c r="G87" s="25"/>
      <c r="H87" s="24" t="s">
        <v>132</v>
      </c>
      <c r="I87" s="25">
        <v>0</v>
      </c>
      <c r="J87" s="25">
        <v>0</v>
      </c>
      <c r="K87" s="25">
        <v>0</v>
      </c>
      <c r="L87" s="25">
        <v>0</v>
      </c>
      <c r="M87" s="26"/>
    </row>
    <row r="88" spans="2:13" x14ac:dyDescent="0.25">
      <c r="B88" s="24" t="s">
        <v>133</v>
      </c>
      <c r="C88" s="25">
        <v>0</v>
      </c>
      <c r="D88" s="25">
        <v>0</v>
      </c>
      <c r="E88" s="25">
        <v>0</v>
      </c>
      <c r="F88" s="25">
        <v>0</v>
      </c>
      <c r="G88" s="25"/>
      <c r="H88" s="24" t="s">
        <v>133</v>
      </c>
      <c r="I88" s="25">
        <v>0</v>
      </c>
      <c r="J88" s="25">
        <v>0</v>
      </c>
      <c r="K88" s="25">
        <v>0</v>
      </c>
      <c r="L88" s="25">
        <v>0</v>
      </c>
      <c r="M88" s="26"/>
    </row>
    <row r="89" spans="2:13" x14ac:dyDescent="0.25">
      <c r="B89" s="24" t="s">
        <v>134</v>
      </c>
      <c r="C89" s="25">
        <v>0</v>
      </c>
      <c r="D89" s="25">
        <v>0</v>
      </c>
      <c r="E89" s="25">
        <v>0</v>
      </c>
      <c r="F89" s="25">
        <v>0</v>
      </c>
      <c r="G89" s="25"/>
      <c r="H89" s="24" t="s">
        <v>134</v>
      </c>
      <c r="I89" s="25">
        <v>0</v>
      </c>
      <c r="J89" s="25">
        <v>0</v>
      </c>
      <c r="K89" s="25">
        <v>0</v>
      </c>
      <c r="L89" s="25">
        <v>0</v>
      </c>
      <c r="M89" s="26"/>
    </row>
    <row r="90" spans="2:13" x14ac:dyDescent="0.25">
      <c r="B90" s="24" t="s">
        <v>135</v>
      </c>
      <c r="C90" s="25">
        <v>0</v>
      </c>
      <c r="D90" s="25">
        <v>0</v>
      </c>
      <c r="E90" s="25">
        <v>0</v>
      </c>
      <c r="F90" s="25">
        <v>0</v>
      </c>
      <c r="G90" s="25"/>
      <c r="H90" s="24" t="s">
        <v>135</v>
      </c>
      <c r="I90" s="25">
        <v>0</v>
      </c>
      <c r="J90" s="25">
        <v>0</v>
      </c>
      <c r="K90" s="25">
        <v>0</v>
      </c>
      <c r="L90" s="25">
        <v>0</v>
      </c>
      <c r="M90" s="26"/>
    </row>
    <row r="91" spans="2:13" x14ac:dyDescent="0.25">
      <c r="B91" s="24" t="s">
        <v>136</v>
      </c>
      <c r="C91" s="25">
        <v>0</v>
      </c>
      <c r="D91" s="25">
        <v>0</v>
      </c>
      <c r="E91" s="25">
        <v>0</v>
      </c>
      <c r="F91" s="25">
        <v>0</v>
      </c>
      <c r="G91" s="25"/>
      <c r="H91" s="24" t="s">
        <v>136</v>
      </c>
      <c r="I91" s="25">
        <v>0</v>
      </c>
      <c r="J91" s="25">
        <v>0</v>
      </c>
      <c r="K91" s="25">
        <v>0</v>
      </c>
      <c r="L91" s="25">
        <v>0</v>
      </c>
      <c r="M91" s="26"/>
    </row>
    <row r="92" spans="2:13" x14ac:dyDescent="0.25">
      <c r="B92" s="9"/>
      <c r="C92" s="8"/>
      <c r="D92" s="8"/>
      <c r="E92" s="8"/>
      <c r="F92" s="8"/>
      <c r="G92" s="8"/>
      <c r="H92" s="9"/>
      <c r="I92" s="8"/>
      <c r="J92" s="8"/>
      <c r="K92" s="8"/>
      <c r="L92" s="8"/>
      <c r="M92" s="19"/>
    </row>
    <row r="93" spans="2:13" x14ac:dyDescent="0.25">
      <c r="B93" s="24" t="s">
        <v>137</v>
      </c>
      <c r="C93" s="25">
        <f>SUM(C76:C91)</f>
        <v>0</v>
      </c>
      <c r="D93" s="25">
        <f>SUM(D76:D91)</f>
        <v>0</v>
      </c>
      <c r="E93" s="25"/>
      <c r="F93" s="25"/>
      <c r="G93" s="25"/>
      <c r="H93" s="24" t="s">
        <v>137</v>
      </c>
      <c r="I93" s="25">
        <f>SUM(I76:I91)</f>
        <v>0</v>
      </c>
      <c r="J93" s="25">
        <f>SUM(J76:J91)</f>
        <v>0</v>
      </c>
      <c r="K93" s="25"/>
      <c r="L93" s="25"/>
      <c r="M93" s="26"/>
    </row>
    <row r="94" spans="2:13" ht="15.75" thickBot="1" x14ac:dyDescent="0.3">
      <c r="B94" s="27" t="s">
        <v>138</v>
      </c>
      <c r="C94" s="28">
        <f>(C76 * 10)+(C77 * 11)+(C78 * 11)+(C79 * 12)+(C80 * 12)+(C81 * 13)+(C82 * 14)+(C83 * 15)+(C84 * 16)+(C85 * 16)+(C86 * 16)+(C87 * 17)+(C88 * 17)+(C89 * 17)+(C90 * 18)+(C91 * 18)</f>
        <v>0</v>
      </c>
      <c r="D94" s="28">
        <f>((D76 * 10)+(D77 * 11)+(D78 * 11)+(D79 * 12)+(D80 * 12)+(D81 * 13)+(D82 * 14)+(D83 * 15)+(D84 * 16)+(D85 * 16)+(D86 * 16)+(D87 * 17)+(D88 * 17)+(D89 * 17)+(D90 * 18)+(D91 * 18)) * 0.4</f>
        <v>0</v>
      </c>
      <c r="E94" s="28">
        <f>SUM(E76:E92)</f>
        <v>0</v>
      </c>
      <c r="F94" s="28">
        <f>SUM(F76:F92)</f>
        <v>0</v>
      </c>
      <c r="G94" s="28"/>
      <c r="H94" s="27" t="s">
        <v>138</v>
      </c>
      <c r="I94" s="28">
        <f>(I76 * 10)+(I77 * 11)+(I78 * 11)+(I79 * 12)+(I80 * 12)+(I81 * 13)+(I82 * 14)+(I83 * 15)+(I84 * 16)+(I85 * 16)+(I86 * 16)+(I87 * 17)+(I88 * 17)+(I89 * 17)+(I90 * 18)+(I91 * 18)</f>
        <v>0</v>
      </c>
      <c r="J94" s="28">
        <f>((J76 * 10)+(J77 * 11)+(J78 * 11)+(J79 * 12)+(J80 * 12)+(J81 * 13)+(J82 * 14)+(J83 * 15)+(J84 * 16)+(J85 * 16)+(J86 * 16)+(J87 * 17)+(J88 * 17)+(J89 * 17)+(J90 * 18)+(J91 * 18)) * 0.4</f>
        <v>0</v>
      </c>
      <c r="K94" s="28">
        <f>SUM(K76:K92)</f>
        <v>0</v>
      </c>
      <c r="L94" s="28">
        <f>SUM(L76:L92)</f>
        <v>0</v>
      </c>
      <c r="M94" s="29"/>
    </row>
    <row r="96" spans="2:13" ht="15.75" thickBot="1" x14ac:dyDescent="0.3"/>
    <row r="97" spans="2:4" x14ac:dyDescent="0.25">
      <c r="B97" s="11"/>
      <c r="C97" s="13" t="s">
        <v>139</v>
      </c>
      <c r="D97" s="18" t="s">
        <v>140</v>
      </c>
    </row>
    <row r="98" spans="2:4" x14ac:dyDescent="0.25">
      <c r="B98" s="9" t="s">
        <v>141</v>
      </c>
      <c r="C98" s="8"/>
      <c r="D98" s="19"/>
    </row>
    <row r="99" spans="2:4" x14ac:dyDescent="0.25">
      <c r="B99" s="9" t="s">
        <v>142</v>
      </c>
      <c r="C99" s="8"/>
      <c r="D99" s="19"/>
    </row>
    <row r="100" spans="2:4" ht="15.75" thickBot="1" x14ac:dyDescent="0.3">
      <c r="B100" s="16" t="s">
        <v>143</v>
      </c>
      <c r="C100" s="17"/>
      <c r="D100" s="20"/>
    </row>
  </sheetData>
  <mergeCells count="6">
    <mergeCell ref="C3:H3"/>
    <mergeCell ref="I3:O3"/>
    <mergeCell ref="P3:AC3"/>
    <mergeCell ref="B73:M73"/>
    <mergeCell ref="B74:G74"/>
    <mergeCell ref="H74:M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Beach FC 2026 Holiday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Dunn</dc:creator>
  <cp:lastModifiedBy>Gabrielle Dunn</cp:lastModifiedBy>
  <dcterms:created xsi:type="dcterms:W3CDTF">2026-10-22T14:22:50Z</dcterms:created>
  <dcterms:modified xsi:type="dcterms:W3CDTF">2026-10-22T14:27:31Z</dcterms:modified>
</cp:coreProperties>
</file>